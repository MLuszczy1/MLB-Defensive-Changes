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"/>
    </mc:Choice>
  </mc:AlternateContent>
  <xr:revisionPtr revIDLastSave="0" documentId="13_ncr:1_{1F030D84-E4E6-4F34-9237-869803F07535}" xr6:coauthVersionLast="47" xr6:coauthVersionMax="47" xr10:uidLastSave="{00000000-0000-0000-0000-000000000000}"/>
  <bookViews>
    <workbookView xWindow="-110" yWindow="-110" windowWidth="19420" windowHeight="10420" firstSheet="4" activeTab="12" xr2:uid="{93C67486-7779-4339-AF42-8BE7E8B77875}"/>
  </bookViews>
  <sheets>
    <sheet name="def" sheetId="1" r:id="rId1"/>
    <sheet name="LVR" sheetId="10" r:id="rId2"/>
    <sheet name="merged" sheetId="9" r:id="rId3"/>
    <sheet name="drs" sheetId="4" r:id="rId4"/>
    <sheet name="Htest" sheetId="14" r:id="rId5"/>
    <sheet name="players" sheetId="3" r:id="rId6"/>
    <sheet name="poh" sheetId="5" r:id="rId7"/>
    <sheet name="regression" sheetId="7" r:id="rId8"/>
    <sheet name="ABstats" sheetId="15" r:id="rId9"/>
    <sheet name="LSP" sheetId="11" r:id="rId10"/>
    <sheet name="AB" sheetId="8" r:id="rId11"/>
    <sheet name="LSH" sheetId="12" r:id="rId12"/>
    <sheet name="FAEV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34" i="1" s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4" i="1"/>
  <c r="P13" i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<sst xmlns="http://schemas.openxmlformats.org/spreadsheetml/2006/main" count="1516" uniqueCount="536">
  <si>
    <t>vs RHH</t>
  </si>
  <si>
    <t>vs LHH</t>
  </si>
  <si>
    <t>Rk.</t>
  </si>
  <si>
    <t>Year</t>
  </si>
  <si>
    <t>Team</t>
  </si>
  <si>
    <t>PA</t>
  </si>
  <si>
    <t>Total Shifts</t>
  </si>
  <si>
    <t>%</t>
  </si>
  <si>
    <t>Shifts</t>
  </si>
  <si>
    <t>wOBA</t>
  </si>
  <si>
    <t> Dodgers</t>
  </si>
  <si>
    <t> Astros</t>
  </si>
  <si>
    <t> Blue Jays</t>
  </si>
  <si>
    <t> Mariners</t>
  </si>
  <si>
    <t> Twins</t>
  </si>
  <si>
    <t> Marlins</t>
  </si>
  <si>
    <t> White Sox</t>
  </si>
  <si>
    <t> Cubs</t>
  </si>
  <si>
    <t> Mets</t>
  </si>
  <si>
    <t> Tigers</t>
  </si>
  <si>
    <t> Rangers</t>
  </si>
  <si>
    <t> Red Sox</t>
  </si>
  <si>
    <t> Angels</t>
  </si>
  <si>
    <t> Nationals</t>
  </si>
  <si>
    <t> Athletics</t>
  </si>
  <si>
    <t> Giants</t>
  </si>
  <si>
    <t> Pirates</t>
  </si>
  <si>
    <t> Braves</t>
  </si>
  <si>
    <t> Reds</t>
  </si>
  <si>
    <t> D-backs</t>
  </si>
  <si>
    <t> Cardinals</t>
  </si>
  <si>
    <t> Phillies</t>
  </si>
  <si>
    <t> Rays</t>
  </si>
  <si>
    <t> Brewers</t>
  </si>
  <si>
    <t> Royals</t>
  </si>
  <si>
    <t> Yankees</t>
  </si>
  <si>
    <t> Padres</t>
  </si>
  <si>
    <t> Orioles</t>
  </si>
  <si>
    <t> Guardians</t>
  </si>
  <si>
    <t> Rockies</t>
  </si>
  <si>
    <t>Dodgers</t>
  </si>
  <si>
    <t>Astros</t>
  </si>
  <si>
    <t>Blue Jays</t>
  </si>
  <si>
    <t>Mariners</t>
  </si>
  <si>
    <t>Twins</t>
  </si>
  <si>
    <t>Marlins</t>
  </si>
  <si>
    <t>White Sox</t>
  </si>
  <si>
    <t>Cubs</t>
  </si>
  <si>
    <t>Mets</t>
  </si>
  <si>
    <t>Tigers</t>
  </si>
  <si>
    <t>Rangers</t>
  </si>
  <si>
    <t>Red Sox</t>
  </si>
  <si>
    <t>Angels</t>
  </si>
  <si>
    <t>Nationals</t>
  </si>
  <si>
    <t>Athletics</t>
  </si>
  <si>
    <t>Giants</t>
  </si>
  <si>
    <t>Pirates</t>
  </si>
  <si>
    <t>Braves</t>
  </si>
  <si>
    <t>Reds</t>
  </si>
  <si>
    <t>Cardinals</t>
  </si>
  <si>
    <t>Phillies</t>
  </si>
  <si>
    <t>Rays</t>
  </si>
  <si>
    <t>Brewers</t>
  </si>
  <si>
    <t>Royals</t>
  </si>
  <si>
    <t>Yankees</t>
  </si>
  <si>
    <t>Padres</t>
  </si>
  <si>
    <t>Orioles</t>
  </si>
  <si>
    <t>Guardians</t>
  </si>
  <si>
    <t>Rockies</t>
  </si>
  <si>
    <t>D-Backs</t>
  </si>
  <si>
    <t>Shift percentage over last 3 seasons</t>
  </si>
  <si>
    <t>Top 10 teams</t>
  </si>
  <si>
    <t>Percent</t>
  </si>
  <si>
    <t>New York Mets</t>
  </si>
  <si>
    <t>Los Angeles Dodgers</t>
  </si>
  <si>
    <t>New York Yankees</t>
  </si>
  <si>
    <t>Philadelphia Phillies</t>
  </si>
  <si>
    <t>San Diego Padres</t>
  </si>
  <si>
    <t>Boston Red Sox</t>
  </si>
  <si>
    <t>Chicago White Sox</t>
  </si>
  <si>
    <t>Atlanta Braves</t>
  </si>
  <si>
    <t>Houston Astros</t>
  </si>
  <si>
    <t>Los Angeles Angels</t>
  </si>
  <si>
    <t>Toronto Blue Jays</t>
  </si>
  <si>
    <t>San Francisco Giants</t>
  </si>
  <si>
    <t>Chicago Cubs</t>
  </si>
  <si>
    <t>Texas Rangers</t>
  </si>
  <si>
    <t>Minnesota Twins</t>
  </si>
  <si>
    <t>Colorado Rockies</t>
  </si>
  <si>
    <t>Detroit Tigers</t>
  </si>
  <si>
    <t>Milwaukee Brewers</t>
  </si>
  <si>
    <t>Washington Nationals</t>
  </si>
  <si>
    <t>Seattle Mariners</t>
  </si>
  <si>
    <t>Cincinnati Reds</t>
  </si>
  <si>
    <t>Arizona Diamondbacks</t>
  </si>
  <si>
    <t>Kansas City Royals</t>
  </si>
  <si>
    <t>Tampa Bay Rays</t>
  </si>
  <si>
    <t>Miami Marlins</t>
  </si>
  <si>
    <t>Pittsburgh Pirates</t>
  </si>
  <si>
    <t>Cleveland Guardians</t>
  </si>
  <si>
    <t>Baltimore Orioles</t>
  </si>
  <si>
    <t>Oakland Athletics</t>
  </si>
  <si>
    <t>Player</t>
  </si>
  <si>
    <t>Pitches</t>
  </si>
  <si>
    <t>Total</t>
  </si>
  <si>
    <t>Pitch %</t>
  </si>
  <si>
    <t>BA</t>
  </si>
  <si>
    <t>xBA</t>
  </si>
  <si>
    <t>Lowe, Brandon</t>
  </si>
  <si>
    <t>Calhoun, Kole</t>
  </si>
  <si>
    <t>Profar, Jurickson</t>
  </si>
  <si>
    <t>Reynolds, Bryan</t>
  </si>
  <si>
    <t>Rosario, Eddie</t>
  </si>
  <si>
    <t>Pederson, Joc</t>
  </si>
  <si>
    <t>Alvarez, Yordan</t>
  </si>
  <si>
    <t>Santana, Carlos</t>
  </si>
  <si>
    <t>Seager, Corey</t>
  </si>
  <si>
    <t>Moncada, Yoán</t>
  </si>
  <si>
    <t>Happ, Ian</t>
  </si>
  <si>
    <t>Odor, Rougned</t>
  </si>
  <si>
    <t>Santander, Anthony</t>
  </si>
  <si>
    <t>Schwarber, Kyle</t>
  </si>
  <si>
    <t>Naylor, Josh</t>
  </si>
  <si>
    <t>Mullins, Cedric</t>
  </si>
  <si>
    <t>Rizzo, Anthony</t>
  </si>
  <si>
    <t>Walsh, Jared</t>
  </si>
  <si>
    <t>Heim, Jonah</t>
  </si>
  <si>
    <t>Lindor, Francisco</t>
  </si>
  <si>
    <t>Hicks, Aaron</t>
  </si>
  <si>
    <t>Harper, Bryce</t>
  </si>
  <si>
    <t>Choi, Ji-Man</t>
  </si>
  <si>
    <t>Muncy, Max</t>
  </si>
  <si>
    <t>Rutschman, Adley</t>
  </si>
  <si>
    <t>Blackmon, Charlie</t>
  </si>
  <si>
    <t>Ruiz, Keibert</t>
  </si>
  <si>
    <t>Bell, Josh</t>
  </si>
  <si>
    <t>Bradley Jr., Jackie</t>
  </si>
  <si>
    <t>Olson, Matt</t>
  </si>
  <si>
    <t>Brown, Seth</t>
  </si>
  <si>
    <t>Kepler, Max</t>
  </si>
  <si>
    <t>Raleigh, Cal</t>
  </si>
  <si>
    <t>Wong, Kolten</t>
  </si>
  <si>
    <t>Giménez, Andrés</t>
  </si>
  <si>
    <t>Tucker, Kyle</t>
  </si>
  <si>
    <t>Tellez, Rowdy</t>
  </si>
  <si>
    <t>Grisham, Trent</t>
  </si>
  <si>
    <t>Biggio, Cavan</t>
  </si>
  <si>
    <t>McMahon, Ryan</t>
  </si>
  <si>
    <t>Peralta, David</t>
  </si>
  <si>
    <t>Devers, Rafael</t>
  </si>
  <si>
    <t>Votto, Joey</t>
  </si>
  <si>
    <t>Gordon, Nick</t>
  </si>
  <si>
    <t>Winker, Jesse</t>
  </si>
  <si>
    <t>Melendez, MJ</t>
  </si>
  <si>
    <t>Polanco, Jorge</t>
  </si>
  <si>
    <t>Yastrzemski, Mike</t>
  </si>
  <si>
    <t>Bellinger, Cody</t>
  </si>
  <si>
    <t>Freeman, Freddie</t>
  </si>
  <si>
    <t>Soto, Juan</t>
  </si>
  <si>
    <t>Grossman, Robbie</t>
  </si>
  <si>
    <t>Thomas, Alek</t>
  </si>
  <si>
    <t>Sheets, Gavin</t>
  </si>
  <si>
    <t>Carlson, Dylan</t>
  </si>
  <si>
    <t>Vogelbach, Daniel</t>
  </si>
  <si>
    <t>Marte, Ketel</t>
  </si>
  <si>
    <t>Yelich, Christian</t>
  </si>
  <si>
    <t>Ohtani, Shohei</t>
  </si>
  <si>
    <t>Rengifo, Luis</t>
  </si>
  <si>
    <t>Kemp, Tony</t>
  </si>
  <si>
    <t>Edman, Tommy</t>
  </si>
  <si>
    <t>Pasquantino, Vinnie</t>
  </si>
  <si>
    <t>Ramírez, José</t>
  </si>
  <si>
    <t>Varsho, Daulton</t>
  </si>
  <si>
    <t>BA-xBA</t>
  </si>
  <si>
    <t>Names</t>
  </si>
  <si>
    <t>St Louis Cardinals</t>
  </si>
  <si>
    <t>Rank</t>
  </si>
  <si>
    <t>P</t>
  </si>
  <si>
    <t>C</t>
  </si>
  <si>
    <t>1B</t>
  </si>
  <si>
    <t>2B</t>
  </si>
  <si>
    <t>3B</t>
  </si>
  <si>
    <t>SS</t>
  </si>
  <si>
    <t>LF</t>
  </si>
  <si>
    <t>CF</t>
  </si>
  <si>
    <t>RF</t>
  </si>
  <si>
    <t>Outfield</t>
  </si>
  <si>
    <t>Non-Shifts</t>
  </si>
  <si>
    <t>BA - xBA</t>
  </si>
  <si>
    <t>McNeil, Jeff</t>
  </si>
  <si>
    <t>García, Adolis</t>
  </si>
  <si>
    <t>Benintendi, Andrew</t>
  </si>
  <si>
    <t>Cruz, Oneil</t>
  </si>
  <si>
    <t>Miller, Brad</t>
  </si>
  <si>
    <t>Renfroe, Hunter</t>
  </si>
  <si>
    <t>Lux, Gavin</t>
  </si>
  <si>
    <t>Grandal, Yasmani</t>
  </si>
  <si>
    <t>Barnhart, Tucker</t>
  </si>
  <si>
    <t>Fraley, Jake</t>
  </si>
  <si>
    <t>Kirilloff, Alex</t>
  </si>
  <si>
    <t>Drury, Brandon</t>
  </si>
  <si>
    <t>Hernández, Enrique</t>
  </si>
  <si>
    <t>Suárez, Eugenio</t>
  </si>
  <si>
    <t>Murphy, Sean</t>
  </si>
  <si>
    <t>Acuña Jr., Ronald</t>
  </si>
  <si>
    <t>Altuve, Jose</t>
  </si>
  <si>
    <t>Semien, Marcus</t>
  </si>
  <si>
    <t>Pollock, AJ</t>
  </si>
  <si>
    <t>Donaldson, Josh</t>
  </si>
  <si>
    <t>Swanson, Dansby</t>
  </si>
  <si>
    <t>Candelario, Jeimer</t>
  </si>
  <si>
    <t>Voit, Luke</t>
  </si>
  <si>
    <t>Riley, Austin</t>
  </si>
  <si>
    <t>Hoskins, Rhys</t>
  </si>
  <si>
    <t>Verdugo, Alex</t>
  </si>
  <si>
    <t>Perez, Salvador</t>
  </si>
  <si>
    <t>Torres, Gleyber</t>
  </si>
  <si>
    <t>Alonso, Pete</t>
  </si>
  <si>
    <t>Crawford, Brandon</t>
  </si>
  <si>
    <t>Trout, Mike</t>
  </si>
  <si>
    <t>Castellanos, Nick</t>
  </si>
  <si>
    <t>Bregman, Alex</t>
  </si>
  <si>
    <t>McCutchen, Andrew</t>
  </si>
  <si>
    <t>Judge, Aaron</t>
  </si>
  <si>
    <t>Albies, Ozzie</t>
  </si>
  <si>
    <t>Springer, George</t>
  </si>
  <si>
    <t>Gamel, Ben</t>
  </si>
  <si>
    <t>Sánchez, Gary</t>
  </si>
  <si>
    <t>Betts, Mookie</t>
  </si>
  <si>
    <t>Escobar, Eduardo</t>
  </si>
  <si>
    <t>Nootbaar, Lars</t>
  </si>
  <si>
    <t>Suwinski, Jack</t>
  </si>
  <si>
    <t>Buxton, Byron</t>
  </si>
  <si>
    <t>McCarthy, Jake</t>
  </si>
  <si>
    <t>Ozuna, Marcell</t>
  </si>
  <si>
    <t>Walker, Christian</t>
  </si>
  <si>
    <t>Soler, Jorge</t>
  </si>
  <si>
    <t>Taylor, Tyrone</t>
  </si>
  <si>
    <t>Sánchez, Jesús</t>
  </si>
  <si>
    <t>Toro, Abraham</t>
  </si>
  <si>
    <t>Hernandez, Cesar</t>
  </si>
  <si>
    <t>Cronenworth, Jake</t>
  </si>
  <si>
    <t>Crawford, J.P.</t>
  </si>
  <si>
    <t>Nimmo, Brandon</t>
  </si>
  <si>
    <t>García, Luis</t>
  </si>
  <si>
    <t>Hosmer, Eric</t>
  </si>
  <si>
    <t>Chisholm Jr., Jazz</t>
  </si>
  <si>
    <t>Donovan, Brendan</t>
  </si>
  <si>
    <t>Rojas, Josh</t>
  </si>
  <si>
    <t>Belt, Brandon</t>
  </si>
  <si>
    <t>Tsutsugo, Yoshi</t>
  </si>
  <si>
    <t>Hilliard, Sam</t>
  </si>
  <si>
    <t>Cordero, Franchy</t>
  </si>
  <si>
    <t>Peterson, Jace</t>
  </si>
  <si>
    <t>Isbel, Kyle</t>
  </si>
  <si>
    <t>Massey, Michael</t>
  </si>
  <si>
    <t>Henderson, Gunnar</t>
  </si>
  <si>
    <t>Stott, Bryson</t>
  </si>
  <si>
    <t>Moustakas, Mike</t>
  </si>
  <si>
    <t>Beer, Seth</t>
  </si>
  <si>
    <t>Mitchell, Cal</t>
  </si>
  <si>
    <t>Lowe, Nathaniel</t>
  </si>
  <si>
    <t>Mejía, Francisco</t>
  </si>
  <si>
    <t>McGuire, Reese</t>
  </si>
  <si>
    <t>Perdomo, Geraldo</t>
  </si>
  <si>
    <t>Gorman, Nolan</t>
  </si>
  <si>
    <t>Naquin, Tyler</t>
  </si>
  <si>
    <t>Smith, Pavin</t>
  </si>
  <si>
    <t>La Stella, Tommy</t>
  </si>
  <si>
    <t>Hernandez, Yadiel</t>
  </si>
  <si>
    <t>Brantley, Michael</t>
  </si>
  <si>
    <t>Díaz, Lewin</t>
  </si>
  <si>
    <t>Franco, Wander</t>
  </si>
  <si>
    <t>Alcántara, Sergio</t>
  </si>
  <si>
    <t>O'Hearn, Ryan</t>
  </si>
  <si>
    <t>Narvaez, Omar</t>
  </si>
  <si>
    <t>Gregorius, Didi</t>
  </si>
  <si>
    <t>Lowrie, Jed</t>
  </si>
  <si>
    <t>Vogt, Stephen</t>
  </si>
  <si>
    <t>Castro, Harold</t>
  </si>
  <si>
    <t>VanMeter, Josh</t>
  </si>
  <si>
    <t>Gallo, Joey</t>
  </si>
  <si>
    <t>Kelenic, Jarred</t>
  </si>
  <si>
    <t>Wade Jr., LaMonte</t>
  </si>
  <si>
    <t>Phillips, Brett</t>
  </si>
  <si>
    <t>Meadows, Austin</t>
  </si>
  <si>
    <t>Smith, Dominic</t>
  </si>
  <si>
    <t>Handedness</t>
  </si>
  <si>
    <t>Robles, Victor</t>
  </si>
  <si>
    <t>Machado, Manny</t>
  </si>
  <si>
    <t>Bryant, Kris</t>
  </si>
  <si>
    <t>Morel, Christopher</t>
  </si>
  <si>
    <t>Farmer, Kyle</t>
  </si>
  <si>
    <t>Stassi, Max</t>
  </si>
  <si>
    <t>Haniger, Mitch</t>
  </si>
  <si>
    <t>Garver, Mitch</t>
  </si>
  <si>
    <t>Canha, Mark</t>
  </si>
  <si>
    <t>Hays, Austin</t>
  </si>
  <si>
    <t>Yepez, Juan</t>
  </si>
  <si>
    <t>Peña, Jeremy</t>
  </si>
  <si>
    <t>Ward, Taylor</t>
  </si>
  <si>
    <t>Flores, Wilmer</t>
  </si>
  <si>
    <t>Maldonado, Martín</t>
  </si>
  <si>
    <t>Wisdom, Patrick</t>
  </si>
  <si>
    <t>Duvall, Adam</t>
  </si>
  <si>
    <t>O'Neill, Tyler</t>
  </si>
  <si>
    <t>Kim, Ha-Seong</t>
  </si>
  <si>
    <t>Aguilar, Jesús</t>
  </si>
  <si>
    <t>McCormick, Chas</t>
  </si>
  <si>
    <t>Franco, Maikel</t>
  </si>
  <si>
    <t>Higashioka, Kyle</t>
  </si>
  <si>
    <t>Sanchez, Gary</t>
  </si>
  <si>
    <t>Hedges, Austin</t>
  </si>
  <si>
    <t>Pujols, Albert</t>
  </si>
  <si>
    <t>Luplow, Jordan</t>
  </si>
  <si>
    <t>Kelly, Carson</t>
  </si>
  <si>
    <t>Pache, Cristian</t>
  </si>
  <si>
    <t>Ruf, Darin</t>
  </si>
  <si>
    <t>Adames, Willy</t>
  </si>
  <si>
    <t>30 plate apperences with a groundball vs the shift</t>
  </si>
  <si>
    <t>handness = 1 is left, 0 is right</t>
  </si>
  <si>
    <t>League</t>
  </si>
  <si>
    <t>AL= 1, NL=0</t>
  </si>
  <si>
    <t xml:space="preserve">EV </t>
  </si>
  <si>
    <t>DRS</t>
  </si>
  <si>
    <t>SP</t>
  </si>
  <si>
    <t>LHH</t>
  </si>
  <si>
    <t>LHTotal</t>
  </si>
  <si>
    <t>Chapman, Matt</t>
  </si>
  <si>
    <t>Smith, Will</t>
  </si>
  <si>
    <t>Cron, C.J.</t>
  </si>
  <si>
    <t>India, Jonathan</t>
  </si>
  <si>
    <t>Taylor, Chris</t>
  </si>
  <si>
    <t>RHH</t>
  </si>
  <si>
    <t>RHTotal</t>
  </si>
  <si>
    <t xml:space="preserve">LHPitch </t>
  </si>
  <si>
    <t xml:space="preserve">RHPitch </t>
  </si>
  <si>
    <t>LeagueYear</t>
  </si>
  <si>
    <t>ShiftPercentage</t>
  </si>
  <si>
    <t>Strikeouts</t>
  </si>
  <si>
    <t>Heyward, Jason</t>
  </si>
  <si>
    <t>Frazier, Adam</t>
  </si>
  <si>
    <t>Kiermaier, Kevin</t>
  </si>
  <si>
    <t>Bleday, JJ</t>
  </si>
  <si>
    <t>Narváez, Omar</t>
  </si>
  <si>
    <t>Ortega, Rafael</t>
  </si>
  <si>
    <t>Carpenter, Matt</t>
  </si>
  <si>
    <t>Pratto, Nick</t>
  </si>
  <si>
    <t>Smith, Josh H.</t>
  </si>
  <si>
    <t>Ford, Mike</t>
  </si>
  <si>
    <t>Marsh, Brandon</t>
  </si>
  <si>
    <t>Hall, Darick</t>
  </si>
  <si>
    <t>Cave, Jake</t>
  </si>
  <si>
    <t>Gonzalez, Marwin</t>
  </si>
  <si>
    <t>Walls, Taylor</t>
  </si>
  <si>
    <t>Cabrera, Oswaldo</t>
  </si>
  <si>
    <t>Collins, Zack</t>
  </si>
  <si>
    <t>Perez, Michael</t>
  </si>
  <si>
    <t>Velazquez, Andrew</t>
  </si>
  <si>
    <t>Trammell, Taylor</t>
  </si>
  <si>
    <t>Moran, Colin</t>
  </si>
  <si>
    <t>Lamb, Jake</t>
  </si>
  <si>
    <t>Larnach, Trevor</t>
  </si>
  <si>
    <t>Stubbs, Garrett</t>
  </si>
  <si>
    <t>Clemens, Kody</t>
  </si>
  <si>
    <t>Castro, Jason</t>
  </si>
  <si>
    <t>Moniak, Mickey</t>
  </si>
  <si>
    <t>Baddoo, Akil</t>
  </si>
  <si>
    <t>Stowers, Kyle</t>
  </si>
  <si>
    <t>Bolt, Skye</t>
  </si>
  <si>
    <t>Hernández, César</t>
  </si>
  <si>
    <t>Friedl, TJ</t>
  </si>
  <si>
    <t>McKinstry, Zach</t>
  </si>
  <si>
    <t>Taveras, Leody</t>
  </si>
  <si>
    <t>Castro, Rodolfo</t>
  </si>
  <si>
    <t>Ríos, Edwin</t>
  </si>
  <si>
    <t>Carpenter, Kerry</t>
  </si>
  <si>
    <t>Thaiss, Matt</t>
  </si>
  <si>
    <t>McKinney, Billy</t>
  </si>
  <si>
    <t>Viloria, Meibrys</t>
  </si>
  <si>
    <t>Greene, Riley</t>
  </si>
  <si>
    <t>Rivas, Alfonso</t>
  </si>
  <si>
    <t>Jones, Nolan</t>
  </si>
  <si>
    <t>Mazeika, Patrick</t>
  </si>
  <si>
    <t>Palacios, Richie</t>
  </si>
  <si>
    <t>Wallner, Matt</t>
  </si>
  <si>
    <t>Herrera, Jose</t>
  </si>
  <si>
    <t>Vosler, Jason</t>
  </si>
  <si>
    <t>Heineman, Tyler</t>
  </si>
  <si>
    <t>Toglia, Michael</t>
  </si>
  <si>
    <t>Benson, Will</t>
  </si>
  <si>
    <t>Hummel, Cooper</t>
  </si>
  <si>
    <t>Caratini, Victor</t>
  </si>
  <si>
    <t>Matijevic, J.J.</t>
  </si>
  <si>
    <t>Rojas, Jose</t>
  </si>
  <si>
    <t>Castro, Willi</t>
  </si>
  <si>
    <t>Leon, Sandy</t>
  </si>
  <si>
    <t>Harris II, Michael</t>
  </si>
  <si>
    <t>Duran, Jarren</t>
  </si>
  <si>
    <t>Haggerty, Sam</t>
  </si>
  <si>
    <t>Maton, Nick</t>
  </si>
  <si>
    <t>Zimmer, Bradley</t>
  </si>
  <si>
    <t>Casas, Triston</t>
  </si>
  <si>
    <t>Camargo, Johan</t>
  </si>
  <si>
    <t>Goodrum, Niko</t>
  </si>
  <si>
    <t>Nuñez, Dom</t>
  </si>
  <si>
    <t>Calhoun, Willie</t>
  </si>
  <si>
    <t>Vavra, Terrin</t>
  </si>
  <si>
    <t>Contreras, Mark</t>
  </si>
  <si>
    <t>Waters, Drew</t>
  </si>
  <si>
    <t>Casali, Curt</t>
  </si>
  <si>
    <t>Hiura, Keston</t>
  </si>
  <si>
    <t>Haase, Eric</t>
  </si>
  <si>
    <t>Dalbec, Bobby</t>
  </si>
  <si>
    <t>Castillo, Diego</t>
  </si>
  <si>
    <t>Reyes, Franmil</t>
  </si>
  <si>
    <t>Urías, Luis</t>
  </si>
  <si>
    <t>Cruz, Nelson</t>
  </si>
  <si>
    <t>Chirinos, Robinson</t>
  </si>
  <si>
    <t>Myers, Wil</t>
  </si>
  <si>
    <t>Jansen, Danny</t>
  </si>
  <si>
    <t>Stanton, Giancarlo</t>
  </si>
  <si>
    <t>Grichuk, Randal</t>
  </si>
  <si>
    <t>Zunino, Mike</t>
  </si>
  <si>
    <t>Arenado, Nolan</t>
  </si>
  <si>
    <t>DeJong, Paul</t>
  </si>
  <si>
    <t>Bader, Harrison</t>
  </si>
  <si>
    <t>Rivera, Emmanuel</t>
  </si>
  <si>
    <t>Dozier, Hunter</t>
  </si>
  <si>
    <t>García, Avisaíl</t>
  </si>
  <si>
    <t>Smith, Kevin</t>
  </si>
  <si>
    <t>Aquino, Aristides</t>
  </si>
  <si>
    <t>Paredes, Isaac</t>
  </si>
  <si>
    <t>Bogaerts, Xander</t>
  </si>
  <si>
    <t>Joe, Connor</t>
  </si>
  <si>
    <t>Adell, Jo</t>
  </si>
  <si>
    <t>Realmuto, J.T.</t>
  </si>
  <si>
    <t>Story, Trevor</t>
  </si>
  <si>
    <t>Suzuki, Kurt</t>
  </si>
  <si>
    <t>Goldschmidt, Paul</t>
  </si>
  <si>
    <t>Siri, Jose</t>
  </si>
  <si>
    <t>Martinez, J.D.</t>
  </si>
  <si>
    <t>Bart, Joey</t>
  </si>
  <si>
    <t>Mountcastle, Ryan</t>
  </si>
  <si>
    <t>Velázquez, Nelson</t>
  </si>
  <si>
    <t>Nevin, Tyler</t>
  </si>
  <si>
    <t>Nola, Austin</t>
  </si>
  <si>
    <t>Garlick, Kyle</t>
  </si>
  <si>
    <t>Pinder, Chad</t>
  </si>
  <si>
    <t>Taylor, Michael A.</t>
  </si>
  <si>
    <t>Longoria, Evan</t>
  </si>
  <si>
    <t>Báez, Javier</t>
  </si>
  <si>
    <t>Davis, J.D.</t>
  </si>
  <si>
    <t>Espinal, Santiago</t>
  </si>
  <si>
    <t>Torkelson, Spencer</t>
  </si>
  <si>
    <t>Hernández, Teoscar</t>
  </si>
  <si>
    <t>Guerrero Jr., Vladimir</t>
  </si>
  <si>
    <t>Sanó, Miguel</t>
  </si>
  <si>
    <t>Laureano, Ramón</t>
  </si>
  <si>
    <t>Kreidler, Ryan</t>
  </si>
  <si>
    <t>Miranda, Jose</t>
  </si>
  <si>
    <t>De La Cruz, Bryan</t>
  </si>
  <si>
    <t>Abreu, José</t>
  </si>
  <si>
    <t>Serven, Brian</t>
  </si>
  <si>
    <t>Langeliers, Shea</t>
  </si>
  <si>
    <t>Chavis, Michael</t>
  </si>
  <si>
    <t>Upton, Justin</t>
  </si>
  <si>
    <t>Vaughn, Andrew</t>
  </si>
  <si>
    <t>Jung, Josh</t>
  </si>
  <si>
    <t>Rodríguez, Julio</t>
  </si>
  <si>
    <t>Robert Jr., Luis</t>
  </si>
  <si>
    <t>Stallings, Jacob</t>
  </si>
  <si>
    <t>Schwindel, Frank</t>
  </si>
  <si>
    <t>Contreras, Willson</t>
  </si>
  <si>
    <t>Correa, Carlos</t>
  </si>
  <si>
    <t>Díaz, Aledmys</t>
  </si>
  <si>
    <t>Molina, Yadier</t>
  </si>
  <si>
    <t>Anderson, Brian</t>
  </si>
  <si>
    <t>Bethancourt, Christian</t>
  </si>
  <si>
    <t>Thompson, Trayce</t>
  </si>
  <si>
    <t>Chang, Yu</t>
  </si>
  <si>
    <t>Schoop, Jonathan</t>
  </si>
  <si>
    <t>Turner, Justin</t>
  </si>
  <si>
    <t>Huff, Sam</t>
  </si>
  <si>
    <t>Jiménez, Eloy</t>
  </si>
  <si>
    <t>Fairchild, Stuart</t>
  </si>
  <si>
    <t>Garcia, Aramis</t>
  </si>
  <si>
    <t>Villar, David</t>
  </si>
  <si>
    <t>McKenna, Ryan</t>
  </si>
  <si>
    <t>Jeffers, Ryan</t>
  </si>
  <si>
    <t>Leblanc, Charles</t>
  </si>
  <si>
    <t>Gurriel, Yuli</t>
  </si>
  <si>
    <t>Piscotty, Stephen</t>
  </si>
  <si>
    <t>Mercado, Oscar</t>
  </si>
  <si>
    <t>Cooper, Garrett</t>
  </si>
  <si>
    <t>Kirk, Alejandro</t>
  </si>
  <si>
    <t>Witt Jr., Bobby</t>
  </si>
  <si>
    <t>Brosseau, Mike</t>
  </si>
  <si>
    <t>Pham, Tommy</t>
  </si>
  <si>
    <t>Burger, Jake</t>
  </si>
  <si>
    <t>Murphy, Tom</t>
  </si>
  <si>
    <t>Zavala, Seby</t>
  </si>
  <si>
    <t>Williams, Luke</t>
  </si>
  <si>
    <t>Mercedes, Yermín</t>
  </si>
  <si>
    <t>Suzuki, Seiya</t>
  </si>
  <si>
    <t>Marte, Starling</t>
  </si>
  <si>
    <t>d'Arnaud, Travis</t>
  </si>
  <si>
    <t>Stephenson, Tyler</t>
  </si>
  <si>
    <t>Harrison, Josh</t>
  </si>
  <si>
    <t>Plawecki, Kevin</t>
  </si>
  <si>
    <t>Ahmed, Nick</t>
  </si>
  <si>
    <t>Gomes, Yan</t>
  </si>
  <si>
    <t>Mathias, Mark</t>
  </si>
  <si>
    <t>Ibáñez, Andy</t>
  </si>
  <si>
    <t>Montero, Elehuris</t>
  </si>
  <si>
    <t>Alfaro, Jorge</t>
  </si>
  <si>
    <t>Brinson, Lewis</t>
  </si>
  <si>
    <t>Mateo, Jorge</t>
  </si>
  <si>
    <t>Sosa, Edmundo</t>
  </si>
  <si>
    <t>Fortes, Nick</t>
  </si>
  <si>
    <t>Peraza, Oswald</t>
  </si>
  <si>
    <t>Arozarena, Randy</t>
  </si>
  <si>
    <t>Refsnyder, Rob</t>
  </si>
  <si>
    <t>Davis, Jonathan</t>
  </si>
  <si>
    <t>LHBA</t>
  </si>
  <si>
    <t>LHxBA</t>
  </si>
  <si>
    <t>RHBA</t>
  </si>
  <si>
    <t>RHxBA</t>
  </si>
  <si>
    <t>OAA</t>
  </si>
  <si>
    <t>BIP</t>
  </si>
  <si>
    <t>Handness</t>
  </si>
  <si>
    <t xml:space="preserve">LA </t>
  </si>
  <si>
    <t>PitchPercent</t>
  </si>
  <si>
    <t>Kpercent</t>
  </si>
  <si>
    <t>LHandness</t>
  </si>
  <si>
    <t>Rhandness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</si>
</sst>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boto Condensed"/>
    </font>
    <font>
      <sz val="6"/>
      <color rgb="FF212529"/>
      <name val="Trebuchet MS"/>
      <family val="2"/>
    </font>
    <font>
      <b/>
      <sz val="6"/>
      <color rgb="FF333333"/>
      <name val="Roboto Condensed"/>
    </font>
    <font>
      <sz val="6"/>
      <color rgb="FF333333"/>
      <name val="Roboto Condensed"/>
    </font>
    <font>
      <sz val="6"/>
      <color rgb="FF333333"/>
      <name val="Arial"/>
      <family val="2"/>
    </font>
    <font>
      <u/>
      <sz val="6"/>
      <color rgb="FF333333"/>
      <name val="Roboto Condensed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7"/>
      <color rgb="FF333333"/>
      <name val="Times New Roman"/>
      <family val="1"/>
    </font>
    <font>
      <b/>
      <sz val="12"/>
      <color rgb="FF333333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rgb="FF333333"/>
      <name val="Times New Roman"/>
      <family val="1"/>
    </font>
    <font>
      <sz val="7"/>
      <color rgb="FF000000"/>
      <name val="Times New Roman"/>
      <family val="1"/>
    </font>
    <font>
      <sz val="7"/>
      <color rgb="FFFFFFFF"/>
      <name val="Times New Roman"/>
      <family val="1"/>
    </font>
    <font>
      <sz val="7"/>
      <color theme="1"/>
      <name val="Times New Roman"/>
      <family val="1"/>
    </font>
    <font>
      <sz val="6"/>
      <color rgb="FF212529"/>
      <name val="Times New Roman"/>
      <family val="1"/>
    </font>
    <font>
      <b/>
      <sz val="11"/>
      <color theme="1"/>
      <name val="Roboto Condensed"/>
    </font>
    <font>
      <u/>
      <sz val="11"/>
      <color theme="1"/>
      <name val="Roboto Condensed"/>
    </font>
    <font>
      <sz val="11"/>
      <color rgb="FF333333"/>
      <name val="Roboto Condensed"/>
    </font>
    <font>
      <b/>
      <sz val="10"/>
      <color rgb="FF333333"/>
      <name val="Roboto Condensed"/>
    </font>
    <font>
      <b/>
      <sz val="10"/>
      <color theme="1"/>
      <name val="Roboto Condensed"/>
    </font>
    <font>
      <sz val="10"/>
      <color theme="1"/>
      <name val="Calibri"/>
      <family val="2"/>
      <scheme val="minor"/>
    </font>
    <font>
      <sz val="10"/>
      <color rgb="FF333333"/>
      <name val="Roboto Condensed"/>
    </font>
    <font>
      <sz val="10"/>
      <color theme="1"/>
      <name val="Roboto Condensed"/>
    </font>
    <font>
      <b/>
      <sz val="10"/>
      <color theme="1"/>
      <name val="Calibri"/>
      <family val="2"/>
      <scheme val="minor"/>
    </font>
    <font>
      <b/>
      <sz val="10"/>
      <color theme="1"/>
      <name val="Roboto"/>
    </font>
    <font>
      <b/>
      <sz val="6"/>
      <name val="Roboto Condensed"/>
    </font>
    <font>
      <sz val="6"/>
      <name val="Roboto Condensed"/>
    </font>
    <font>
      <sz val="11"/>
      <name val="Calibri"/>
      <family val="2"/>
      <scheme val="minor"/>
    </font>
  </fonts>
  <fills count="17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5359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35E64"/>
        <bgColor indexed="64"/>
      </patternFill>
    </fill>
    <fill>
      <patternFill patternType="solid">
        <fgColor rgb="FFE35F64"/>
        <bgColor indexed="64"/>
      </patternFill>
    </fill>
    <fill>
      <patternFill patternType="solid">
        <fgColor rgb="FFE87E83"/>
        <bgColor indexed="64"/>
      </patternFill>
    </fill>
    <fill>
      <patternFill patternType="solid">
        <fgColor rgb="FFEA878B"/>
        <bgColor indexed="64"/>
      </patternFill>
    </fill>
    <fill>
      <patternFill patternType="solid">
        <fgColor rgb="FFDD3E45"/>
        <bgColor indexed="64"/>
      </patternFill>
    </fill>
    <fill>
      <patternFill patternType="solid">
        <fgColor rgb="FFF0AAAD"/>
        <bgColor indexed="64"/>
      </patternFill>
    </fill>
    <fill>
      <patternFill patternType="solid">
        <fgColor rgb="FFF3B8BB"/>
        <bgColor indexed="64"/>
      </patternFill>
    </fill>
    <fill>
      <patternFill patternType="solid">
        <fgColor rgb="FFF1ADB0"/>
        <bgColor indexed="64"/>
      </patternFill>
    </fill>
    <fill>
      <patternFill patternType="solid">
        <fgColor rgb="FFE35F65"/>
        <bgColor indexed="64"/>
      </patternFill>
    </fill>
    <fill>
      <patternFill patternType="solid">
        <fgColor rgb="FFF1AEB1"/>
        <bgColor indexed="64"/>
      </patternFill>
    </fill>
    <fill>
      <patternFill patternType="solid">
        <fgColor rgb="FFE77479"/>
        <bgColor indexed="64"/>
      </patternFill>
    </fill>
    <fill>
      <patternFill patternType="solid">
        <fgColor rgb="FFF2B3B6"/>
        <bgColor indexed="64"/>
      </patternFill>
    </fill>
    <fill>
      <patternFill patternType="solid">
        <fgColor rgb="FFEEA0A3"/>
        <bgColor indexed="64"/>
      </patternFill>
    </fill>
    <fill>
      <patternFill patternType="solid">
        <fgColor rgb="FFF3BABC"/>
        <bgColor indexed="64"/>
      </patternFill>
    </fill>
    <fill>
      <patternFill patternType="solid">
        <fgColor rgb="FFE67378"/>
        <bgColor indexed="64"/>
      </patternFill>
    </fill>
    <fill>
      <patternFill patternType="solid">
        <fgColor rgb="FFF4BEC0"/>
        <bgColor indexed="64"/>
      </patternFill>
    </fill>
    <fill>
      <patternFill patternType="solid">
        <fgColor rgb="FFF4BEC1"/>
        <bgColor indexed="64"/>
      </patternFill>
    </fill>
    <fill>
      <patternFill patternType="solid">
        <fgColor rgb="FFEC9296"/>
        <bgColor indexed="64"/>
      </patternFill>
    </fill>
    <fill>
      <patternFill patternType="solid">
        <fgColor rgb="FFF6CDCF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ED999D"/>
        <bgColor indexed="64"/>
      </patternFill>
    </fill>
    <fill>
      <patternFill patternType="solid">
        <fgColor rgb="FFE05157"/>
        <bgColor indexed="64"/>
      </patternFill>
    </fill>
    <fill>
      <patternFill patternType="solid">
        <fgColor rgb="FFF8D5D6"/>
        <bgColor indexed="64"/>
      </patternFill>
    </fill>
    <fill>
      <patternFill patternType="solid">
        <fgColor rgb="FFF8D9DB"/>
        <bgColor indexed="64"/>
      </patternFill>
    </fill>
    <fill>
      <patternFill patternType="solid">
        <fgColor rgb="FFDD3C43"/>
        <bgColor indexed="64"/>
      </patternFill>
    </fill>
    <fill>
      <patternFill patternType="solid">
        <fgColor rgb="FFF8D7D8"/>
        <bgColor indexed="64"/>
      </patternFill>
    </fill>
    <fill>
      <patternFill patternType="solid">
        <fgColor rgb="FFFAE4E5"/>
        <bgColor indexed="64"/>
      </patternFill>
    </fill>
    <fill>
      <patternFill patternType="solid">
        <fgColor rgb="FFFAE2E3"/>
        <bgColor indexed="64"/>
      </patternFill>
    </fill>
    <fill>
      <patternFill patternType="solid">
        <fgColor rgb="FFE15258"/>
        <bgColor indexed="64"/>
      </patternFill>
    </fill>
    <fill>
      <patternFill patternType="solid">
        <fgColor rgb="FFF0A9AC"/>
        <bgColor indexed="64"/>
      </patternFill>
    </fill>
    <fill>
      <patternFill patternType="solid">
        <fgColor rgb="FFC8D4E9"/>
        <bgColor indexed="64"/>
      </patternFill>
    </fill>
    <fill>
      <patternFill patternType="solid">
        <fgColor rgb="FFFCEDED"/>
        <bgColor indexed="64"/>
      </patternFill>
    </fill>
    <fill>
      <patternFill patternType="solid">
        <fgColor rgb="FFFCFCFE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F6CACC"/>
        <bgColor indexed="64"/>
      </patternFill>
    </fill>
    <fill>
      <patternFill patternType="solid">
        <fgColor rgb="FFEA858A"/>
        <bgColor indexed="64"/>
      </patternFill>
    </fill>
    <fill>
      <patternFill patternType="solid">
        <fgColor rgb="FFFCF0F1"/>
        <bgColor indexed="64"/>
      </patternFill>
    </fill>
    <fill>
      <patternFill patternType="solid">
        <fgColor rgb="FFFDF4F4"/>
        <bgColor indexed="64"/>
      </patternFill>
    </fill>
    <fill>
      <patternFill patternType="solid">
        <fgColor rgb="FFFDF1F2"/>
        <bgColor indexed="64"/>
      </patternFill>
    </fill>
    <fill>
      <patternFill patternType="solid">
        <fgColor rgb="FFFDF4F5"/>
        <bgColor indexed="64"/>
      </patternFill>
    </fill>
    <fill>
      <patternFill patternType="solid">
        <fgColor rgb="FFFBFBFD"/>
        <bgColor indexed="64"/>
      </patternFill>
    </fill>
    <fill>
      <patternFill patternType="solid">
        <fgColor rgb="FFE67075"/>
        <bgColor indexed="64"/>
      </patternFill>
    </fill>
    <fill>
      <patternFill patternType="solid">
        <fgColor rgb="FFFEF7F7"/>
        <bgColor indexed="64"/>
      </patternFill>
    </fill>
    <fill>
      <patternFill patternType="solid">
        <fgColor rgb="FFE9EDF6"/>
        <bgColor indexed="64"/>
      </patternFill>
    </fill>
    <fill>
      <patternFill patternType="solid">
        <fgColor rgb="FFE66F74"/>
        <bgColor indexed="64"/>
      </patternFill>
    </fill>
    <fill>
      <patternFill patternType="solid">
        <fgColor rgb="FFFEFAFA"/>
        <bgColor indexed="64"/>
      </patternFill>
    </fill>
    <fill>
      <patternFill patternType="solid">
        <fgColor rgb="FFCCD7EA"/>
        <bgColor indexed="64"/>
      </patternFill>
    </fill>
    <fill>
      <patternFill patternType="solid">
        <fgColor rgb="FFE04D53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8FA7D1"/>
        <bgColor indexed="64"/>
      </patternFill>
    </fill>
    <fill>
      <patternFill patternType="solid">
        <fgColor rgb="FFDE4349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E7777C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99AFD6"/>
        <bgColor indexed="64"/>
      </patternFill>
    </fill>
    <fill>
      <patternFill patternType="solid">
        <fgColor rgb="FFE87C81"/>
        <bgColor indexed="64"/>
      </patternFill>
    </fill>
    <fill>
      <patternFill patternType="solid">
        <fgColor rgb="FFDF4A50"/>
        <bgColor indexed="64"/>
      </patternFill>
    </fill>
    <fill>
      <patternFill patternType="solid">
        <fgColor rgb="FFDB353C"/>
        <bgColor indexed="64"/>
      </patternFill>
    </fill>
    <fill>
      <patternFill patternType="solid">
        <fgColor rgb="FFE7797D"/>
        <bgColor indexed="64"/>
      </patternFill>
    </fill>
    <fill>
      <patternFill patternType="solid">
        <fgColor rgb="FFE67176"/>
        <bgColor indexed="64"/>
      </patternFill>
    </fill>
    <fill>
      <patternFill patternType="solid">
        <fgColor rgb="FFF0A7AA"/>
        <bgColor indexed="64"/>
      </patternFill>
    </fill>
    <fill>
      <patternFill patternType="solid">
        <fgColor rgb="FFF0ACAF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D9252D"/>
        <bgColor indexed="64"/>
      </patternFill>
    </fill>
    <fill>
      <patternFill patternType="solid">
        <fgColor rgb="FFF3F5FA"/>
        <bgColor indexed="64"/>
      </patternFill>
    </fill>
    <fill>
      <patternFill patternType="solid">
        <fgColor rgb="FFF0ABAE"/>
        <bgColor indexed="64"/>
      </patternFill>
    </fill>
    <fill>
      <patternFill patternType="solid">
        <fgColor rgb="FFF4C0C2"/>
        <bgColor indexed="64"/>
      </patternFill>
    </fill>
    <fill>
      <patternFill patternType="solid">
        <fgColor rgb="FFF9DEDF"/>
        <bgColor indexed="64"/>
      </patternFill>
    </fill>
    <fill>
      <patternFill patternType="solid">
        <fgColor rgb="FFF5C5C7"/>
        <bgColor indexed="64"/>
      </patternFill>
    </fill>
    <fill>
      <patternFill patternType="solid">
        <fgColor rgb="FFF2B4B6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F5C7C9"/>
        <bgColor indexed="64"/>
      </patternFill>
    </fill>
    <fill>
      <patternFill patternType="solid">
        <fgColor rgb="FFD6DFEE"/>
        <bgColor indexed="64"/>
      </patternFill>
    </fill>
    <fill>
      <patternFill patternType="solid">
        <fgColor rgb="FFF6C9CB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F6CED0"/>
        <bgColor indexed="64"/>
      </patternFill>
    </fill>
    <fill>
      <patternFill patternType="solid">
        <fgColor rgb="FFE1565C"/>
        <bgColor indexed="64"/>
      </patternFill>
    </fill>
    <fill>
      <patternFill patternType="solid">
        <fgColor rgb="FFE98185"/>
        <bgColor indexed="64"/>
      </patternFill>
    </fill>
    <fill>
      <patternFill patternType="solid">
        <fgColor rgb="FFF8DADB"/>
        <bgColor indexed="64"/>
      </patternFill>
    </fill>
    <fill>
      <patternFill patternType="solid">
        <fgColor rgb="FFDF464D"/>
        <bgColor indexed="64"/>
      </patternFill>
    </fill>
    <fill>
      <patternFill patternType="solid">
        <fgColor rgb="FFF9DADC"/>
        <bgColor indexed="64"/>
      </patternFill>
    </fill>
    <fill>
      <patternFill patternType="solid">
        <fgColor rgb="FFDB333A"/>
        <bgColor indexed="64"/>
      </patternFill>
    </fill>
    <fill>
      <patternFill patternType="solid">
        <fgColor rgb="FFE98287"/>
        <bgColor indexed="64"/>
      </patternFill>
    </fill>
    <fill>
      <patternFill patternType="solid">
        <fgColor rgb="FFF9DDDF"/>
        <bgColor indexed="64"/>
      </patternFill>
    </fill>
    <fill>
      <patternFill patternType="solid">
        <fgColor rgb="FFBBC9E3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DC383F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FEFBFB"/>
        <bgColor indexed="64"/>
      </patternFill>
    </fill>
    <fill>
      <patternFill patternType="solid">
        <fgColor rgb="FFC0CEE5"/>
        <bgColor indexed="64"/>
      </patternFill>
    </fill>
    <fill>
      <patternFill patternType="solid">
        <fgColor rgb="FFDD3F46"/>
        <bgColor indexed="64"/>
      </patternFill>
    </fill>
    <fill>
      <patternFill patternType="solid">
        <fgColor rgb="FFABBDDD"/>
        <bgColor indexed="64"/>
      </patternFill>
    </fill>
    <fill>
      <patternFill patternType="solid">
        <fgColor rgb="FFE4686D"/>
        <bgColor indexed="64"/>
      </patternFill>
    </fill>
    <fill>
      <patternFill patternType="solid">
        <fgColor rgb="FFFEFCFC"/>
        <bgColor indexed="64"/>
      </patternFill>
    </fill>
    <fill>
      <patternFill patternType="solid">
        <fgColor rgb="FF859FCD"/>
        <bgColor indexed="64"/>
      </patternFill>
    </fill>
    <fill>
      <patternFill patternType="solid">
        <fgColor rgb="FFDE464C"/>
        <bgColor indexed="64"/>
      </patternFill>
    </fill>
    <fill>
      <patternFill patternType="solid">
        <fgColor rgb="FFFFFEFE"/>
        <bgColor indexed="64"/>
      </patternFill>
    </fill>
    <fill>
      <patternFill patternType="solid">
        <fgColor rgb="FF98AED5"/>
        <bgColor indexed="64"/>
      </patternFill>
    </fill>
    <fill>
      <patternFill patternType="solid">
        <fgColor rgb="FFDF484F"/>
        <bgColor indexed="64"/>
      </patternFill>
    </fill>
    <fill>
      <patternFill patternType="solid">
        <fgColor rgb="FFF0F3F9"/>
        <bgColor indexed="64"/>
      </patternFill>
    </fill>
    <fill>
      <patternFill patternType="solid">
        <fgColor rgb="FFA5B8DA"/>
        <bgColor indexed="64"/>
      </patternFill>
    </fill>
    <fill>
      <patternFill patternType="solid">
        <fgColor rgb="FFEC9195"/>
        <bgColor indexed="64"/>
      </patternFill>
    </fill>
    <fill>
      <patternFill patternType="solid">
        <fgColor rgb="FFE5EBF4"/>
        <bgColor indexed="64"/>
      </patternFill>
    </fill>
    <fill>
      <patternFill patternType="solid">
        <fgColor rgb="FFD8E0EF"/>
        <bgColor indexed="64"/>
      </patternFill>
    </fill>
    <fill>
      <patternFill patternType="solid">
        <fgColor rgb="FFF4C3C5"/>
        <bgColor indexed="64"/>
      </patternFill>
    </fill>
    <fill>
      <patternFill patternType="solid">
        <fgColor rgb="FFDDE4F1"/>
        <bgColor indexed="64"/>
      </patternFill>
    </fill>
    <fill>
      <patternFill patternType="solid">
        <fgColor rgb="FFEB8F93"/>
        <bgColor indexed="64"/>
      </patternFill>
    </fill>
    <fill>
      <patternFill patternType="solid">
        <fgColor rgb="FFD2DCED"/>
        <bgColor indexed="64"/>
      </patternFill>
    </fill>
    <fill>
      <patternFill patternType="solid">
        <fgColor rgb="FFF7D2D4"/>
        <bgColor indexed="64"/>
      </patternFill>
    </fill>
    <fill>
      <patternFill patternType="solid">
        <fgColor rgb="FFC9D5E9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C7D3E8"/>
        <bgColor indexed="64"/>
      </patternFill>
    </fill>
    <fill>
      <patternFill patternType="solid">
        <fgColor rgb="FFE35D63"/>
        <bgColor indexed="64"/>
      </patternFill>
    </fill>
    <fill>
      <patternFill patternType="solid">
        <fgColor rgb="FFDF474E"/>
        <bgColor indexed="64"/>
      </patternFill>
    </fill>
    <fill>
      <patternFill patternType="solid">
        <fgColor rgb="FFE98488"/>
        <bgColor indexed="64"/>
      </patternFill>
    </fill>
    <fill>
      <patternFill patternType="solid">
        <fgColor rgb="FFDC353C"/>
        <bgColor indexed="64"/>
      </patternFill>
    </fill>
    <fill>
      <patternFill patternType="solid">
        <fgColor rgb="FFEA868A"/>
        <bgColor indexed="64"/>
      </patternFill>
    </fill>
    <fill>
      <patternFill patternType="solid">
        <fgColor rgb="FFED989B"/>
        <bgColor indexed="64"/>
      </patternFill>
    </fill>
    <fill>
      <patternFill patternType="solid">
        <fgColor rgb="FFDE4148"/>
        <bgColor indexed="64"/>
      </patternFill>
    </fill>
    <fill>
      <patternFill patternType="solid">
        <fgColor rgb="FFEE9B9F"/>
        <bgColor indexed="64"/>
      </patternFill>
    </fill>
    <fill>
      <patternFill patternType="solid">
        <fgColor rgb="FFEE9FA2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E04F56"/>
        <bgColor indexed="64"/>
      </patternFill>
    </fill>
    <fill>
      <patternFill patternType="solid">
        <fgColor rgb="FFF2B5B7"/>
        <bgColor indexed="64"/>
      </patternFill>
    </fill>
    <fill>
      <patternFill patternType="solid">
        <fgColor rgb="FFEFA3A6"/>
        <bgColor indexed="64"/>
      </patternFill>
    </fill>
    <fill>
      <patternFill patternType="solid">
        <fgColor rgb="FFE7757A"/>
        <bgColor indexed="64"/>
      </patternFill>
    </fill>
    <fill>
      <patternFill patternType="solid">
        <fgColor rgb="FFD9242C"/>
        <bgColor indexed="64"/>
      </patternFill>
    </fill>
    <fill>
      <patternFill patternType="solid">
        <fgColor rgb="FFF3BABD"/>
        <bgColor indexed="64"/>
      </patternFill>
    </fill>
    <fill>
      <patternFill patternType="solid">
        <fgColor rgb="FFF3BDBF"/>
        <bgColor indexed="64"/>
      </patternFill>
    </fill>
    <fill>
      <patternFill patternType="solid">
        <fgColor rgb="FFE56A70"/>
        <bgColor indexed="64"/>
      </patternFill>
    </fill>
    <fill>
      <patternFill patternType="solid">
        <fgColor rgb="FFDC3940"/>
        <bgColor indexed="64"/>
      </patternFill>
    </fill>
    <fill>
      <patternFill patternType="solid">
        <fgColor rgb="FFE87E82"/>
        <bgColor indexed="64"/>
      </patternFill>
    </fill>
    <fill>
      <patternFill patternType="solid">
        <fgColor rgb="FFE98085"/>
        <bgColor indexed="64"/>
      </patternFill>
    </fill>
    <fill>
      <patternFill patternType="solid">
        <fgColor rgb="FFDF4A51"/>
        <bgColor indexed="64"/>
      </patternFill>
    </fill>
    <fill>
      <patternFill patternType="solid">
        <fgColor rgb="FFCFD9EB"/>
        <bgColor indexed="64"/>
      </patternFill>
    </fill>
    <fill>
      <patternFill patternType="solid">
        <fgColor rgb="FFF6CBCD"/>
        <bgColor indexed="64"/>
      </patternFill>
    </fill>
    <fill>
      <patternFill patternType="solid">
        <fgColor rgb="FFF8D6D7"/>
        <bgColor indexed="64"/>
      </patternFill>
    </fill>
    <fill>
      <patternFill patternType="solid">
        <fgColor rgb="FFACBEDD"/>
        <bgColor indexed="64"/>
      </patternFill>
    </fill>
    <fill>
      <patternFill patternType="solid">
        <fgColor rgb="FFFAE3E4"/>
        <bgColor indexed="64"/>
      </patternFill>
    </fill>
    <fill>
      <patternFill patternType="solid">
        <fgColor rgb="FFF6CCCE"/>
        <bgColor indexed="64"/>
      </patternFill>
    </fill>
    <fill>
      <patternFill patternType="solid">
        <fgColor rgb="FFE5696E"/>
        <bgColor indexed="64"/>
      </patternFill>
    </fill>
    <fill>
      <patternFill patternType="solid">
        <fgColor rgb="FFFEF8F9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BEAEB"/>
        <bgColor indexed="64"/>
      </patternFill>
    </fill>
    <fill>
      <patternFill patternType="solid">
        <fgColor rgb="FFE1545A"/>
        <bgColor indexed="64"/>
      </patternFill>
    </fill>
    <fill>
      <patternFill patternType="solid">
        <fgColor rgb="FFF4C1C3"/>
        <bgColor indexed="64"/>
      </patternFill>
    </fill>
    <fill>
      <patternFill patternType="solid">
        <fgColor rgb="FFFCEFEF"/>
        <bgColor indexed="64"/>
      </patternFill>
    </fill>
    <fill>
      <patternFill patternType="solid">
        <fgColor rgb="FFD1DBEC"/>
        <bgColor indexed="64"/>
      </patternFill>
    </fill>
    <fill>
      <patternFill patternType="solid">
        <fgColor rgb="FFFDF3F3"/>
        <bgColor indexed="64"/>
      </patternFill>
    </fill>
    <fill>
      <patternFill patternType="solid">
        <fgColor rgb="FFEFA5A8"/>
        <bgColor indexed="64"/>
      </patternFill>
    </fill>
    <fill>
      <patternFill patternType="solid">
        <fgColor rgb="FFE7ECF5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ED9B9E"/>
        <bgColor indexed="64"/>
      </patternFill>
    </fill>
    <fill>
      <patternFill patternType="solid">
        <fgColor rgb="FFECF0F7"/>
        <bgColor indexed="64"/>
      </patternFill>
    </fill>
    <fill>
      <patternFill patternType="solid">
        <fgColor rgb="FFD4DDED"/>
        <bgColor indexed="64"/>
      </patternFill>
    </fill>
    <fill>
      <patternFill patternType="solid">
        <fgColor rgb="FFCED8EB"/>
        <bgColor indexed="64"/>
      </patternFill>
    </fill>
    <fill>
      <patternFill patternType="solid">
        <fgColor rgb="FFFAE1E2"/>
        <bgColor indexed="64"/>
      </patternFill>
    </fill>
    <fill>
      <patternFill patternType="solid">
        <fgColor rgb="FFD2DBED"/>
        <bgColor indexed="64"/>
      </patternFill>
    </fill>
    <fill>
      <patternFill patternType="solid">
        <fgColor rgb="FF6687C1"/>
        <bgColor indexed="64"/>
      </patternFill>
    </fill>
    <fill>
      <patternFill patternType="solid">
        <fgColor rgb="FF829DCC"/>
        <bgColor indexed="64"/>
      </patternFill>
    </fill>
    <fill>
      <patternFill patternType="solid">
        <fgColor rgb="FF96ACD4"/>
        <bgColor indexed="64"/>
      </patternFill>
    </fill>
    <fill>
      <patternFill patternType="solid">
        <fgColor rgb="FF9AAF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EEE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EDEDED"/>
      </bottom>
      <diagonal/>
    </border>
    <border>
      <left style="medium">
        <color rgb="FF7690A4"/>
      </left>
      <right style="medium">
        <color rgb="FFD4D7DB"/>
      </right>
      <top/>
      <bottom/>
      <diagonal/>
    </border>
    <border>
      <left style="medium">
        <color rgb="FF000000"/>
      </left>
      <right style="medium">
        <color rgb="FFD4D7DB"/>
      </right>
      <top/>
      <bottom/>
      <diagonal/>
    </border>
    <border>
      <left style="medium">
        <color rgb="FF7690A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4D7DB"/>
      </right>
      <top/>
      <bottom style="medium">
        <color rgb="FF000000"/>
      </bottom>
      <diagonal/>
    </border>
    <border>
      <left style="medium">
        <color rgb="FF7690A4"/>
      </left>
      <right style="medium">
        <color rgb="FFD4D7DB"/>
      </right>
      <top/>
      <bottom style="medium">
        <color rgb="FF000000"/>
      </bottom>
      <diagonal/>
    </border>
    <border>
      <left style="medium">
        <color rgb="FF7690A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2D3033"/>
      </right>
      <top style="medium">
        <color rgb="FF000000"/>
      </top>
      <bottom/>
      <diagonal/>
    </border>
    <border>
      <left style="medium">
        <color rgb="FF7690A4"/>
      </left>
      <right style="medium">
        <color rgb="FF2D3033"/>
      </right>
      <top style="medium">
        <color rgb="FF000000"/>
      </top>
      <bottom/>
      <diagonal/>
    </border>
    <border>
      <left/>
      <right style="medium">
        <color rgb="FF2D3033"/>
      </right>
      <top style="medium">
        <color rgb="FF000000"/>
      </top>
      <bottom/>
      <diagonal/>
    </border>
    <border>
      <left style="medium">
        <color rgb="FF2D3033"/>
      </left>
      <right style="medium">
        <color rgb="FF2D3033"/>
      </right>
      <top style="medium">
        <color rgb="FF000000"/>
      </top>
      <bottom/>
      <diagonal/>
    </border>
    <border>
      <left style="medium">
        <color rgb="FF2D3033"/>
      </left>
      <right/>
      <top style="medium">
        <color rgb="FF000000"/>
      </top>
      <bottom/>
      <diagonal/>
    </border>
    <border>
      <left style="medium">
        <color rgb="FF2D3033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EDEDED"/>
      </bottom>
      <diagonal/>
    </border>
    <border>
      <left/>
      <right style="medium">
        <color rgb="FF000000"/>
      </right>
      <top/>
      <bottom style="medium">
        <color rgb="FFEDEDED"/>
      </bottom>
      <diagonal/>
    </border>
    <border>
      <left/>
      <right/>
      <top style="medium">
        <color rgb="FFEDEDED"/>
      </top>
      <bottom/>
      <diagonal/>
    </border>
    <border>
      <left style="medium">
        <color rgb="FF000000"/>
      </left>
      <right/>
      <top/>
      <bottom style="medium">
        <color rgb="FFEDEDED"/>
      </bottom>
      <diagonal/>
    </border>
    <border>
      <left/>
      <right style="medium">
        <color rgb="FF000000"/>
      </right>
      <top style="medium">
        <color rgb="FFEDEDED"/>
      </top>
      <bottom/>
      <diagonal/>
    </border>
    <border>
      <left style="medium">
        <color rgb="FF000000"/>
      </left>
      <right/>
      <top style="medium">
        <color rgb="FFEDEDED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7">
    <xf numFmtId="0" fontId="0" fillId="0" borderId="0" xfId="0"/>
    <xf numFmtId="2" fontId="0" fillId="0" borderId="0" xfId="0" applyNumberFormat="1"/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0" borderId="0" xfId="0" applyFont="1"/>
    <xf numFmtId="0" fontId="8" fillId="2" borderId="0" xfId="0" applyFont="1" applyFill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11" fillId="0" borderId="0" xfId="0" applyFont="1"/>
    <xf numFmtId="0" fontId="9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2" fillId="2" borderId="0" xfId="0" applyFont="1" applyFill="1" applyAlignment="1">
      <alignment horizontal="center" vertical="center"/>
    </xf>
    <xf numFmtId="10" fontId="14" fillId="0" borderId="0" xfId="0" applyNumberFormat="1" applyFont="1"/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2" fontId="14" fillId="0" borderId="0" xfId="1" applyNumberFormat="1" applyFont="1"/>
    <xf numFmtId="0" fontId="16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2" fontId="14" fillId="0" borderId="0" xfId="0" applyNumberFormat="1" applyFont="1"/>
    <xf numFmtId="0" fontId="17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7" fillId="21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17" fillId="25" borderId="0" xfId="0" applyFont="1" applyFill="1" applyAlignment="1">
      <alignment horizontal="center" vertical="center"/>
    </xf>
    <xf numFmtId="0" fontId="17" fillId="26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18" fillId="28" borderId="0" xfId="0" applyFont="1" applyFill="1" applyAlignment="1">
      <alignment horizontal="center" vertical="center"/>
    </xf>
    <xf numFmtId="0" fontId="17" fillId="29" borderId="0" xfId="0" applyFont="1" applyFill="1" applyAlignment="1">
      <alignment horizontal="center" vertical="center"/>
    </xf>
    <xf numFmtId="0" fontId="17" fillId="30" borderId="0" xfId="0" applyFont="1" applyFill="1" applyAlignment="1">
      <alignment horizontal="center" vertical="center"/>
    </xf>
    <xf numFmtId="0" fontId="18" fillId="31" borderId="0" xfId="0" applyFont="1" applyFill="1" applyAlignment="1">
      <alignment horizontal="center" vertical="center"/>
    </xf>
    <xf numFmtId="0" fontId="17" fillId="32" borderId="0" xfId="0" applyFont="1" applyFill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4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0" xfId="0" applyFont="1" applyFill="1" applyAlignment="1">
      <alignment horizontal="center" vertical="center"/>
    </xf>
    <xf numFmtId="0" fontId="17" fillId="40" borderId="0" xfId="0" applyFont="1" applyFill="1" applyAlignment="1">
      <alignment horizontal="center" vertical="center"/>
    </xf>
    <xf numFmtId="0" fontId="17" fillId="41" borderId="0" xfId="0" applyFont="1" applyFill="1" applyAlignment="1">
      <alignment horizontal="center" vertical="center"/>
    </xf>
    <xf numFmtId="0" fontId="17" fillId="42" borderId="0" xfId="0" applyFont="1" applyFill="1" applyAlignment="1">
      <alignment horizontal="center" vertical="center"/>
    </xf>
    <xf numFmtId="0" fontId="17" fillId="43" borderId="0" xfId="0" applyFont="1" applyFill="1" applyAlignment="1">
      <alignment horizontal="center" vertical="center"/>
    </xf>
    <xf numFmtId="0" fontId="17" fillId="44" borderId="0" xfId="0" applyFont="1" applyFill="1" applyAlignment="1">
      <alignment horizontal="center" vertical="center"/>
    </xf>
    <xf numFmtId="0" fontId="17" fillId="45" borderId="0" xfId="0" applyFont="1" applyFill="1" applyAlignment="1">
      <alignment horizontal="center" vertical="center"/>
    </xf>
    <xf numFmtId="0" fontId="17" fillId="46" borderId="0" xfId="0" applyFont="1" applyFill="1" applyAlignment="1">
      <alignment horizontal="center" vertical="center"/>
    </xf>
    <xf numFmtId="0" fontId="17" fillId="47" borderId="0" xfId="0" applyFont="1" applyFill="1" applyAlignment="1">
      <alignment horizontal="center" vertical="center"/>
    </xf>
    <xf numFmtId="0" fontId="17" fillId="48" borderId="0" xfId="0" applyFont="1" applyFill="1" applyAlignment="1">
      <alignment horizontal="center" vertical="center"/>
    </xf>
    <xf numFmtId="0" fontId="17" fillId="49" borderId="0" xfId="0" applyFont="1" applyFill="1" applyAlignment="1">
      <alignment horizontal="center" vertical="center"/>
    </xf>
    <xf numFmtId="0" fontId="17" fillId="50" borderId="0" xfId="0" applyFont="1" applyFill="1" applyAlignment="1">
      <alignment horizontal="center" vertical="center"/>
    </xf>
    <xf numFmtId="0" fontId="17" fillId="51" borderId="0" xfId="0" applyFont="1" applyFill="1" applyAlignment="1">
      <alignment horizontal="center" vertical="center"/>
    </xf>
    <xf numFmtId="0" fontId="17" fillId="52" borderId="0" xfId="0" applyFont="1" applyFill="1" applyAlignment="1">
      <alignment horizontal="center" vertical="center"/>
    </xf>
    <xf numFmtId="0" fontId="17" fillId="53" borderId="0" xfId="0" applyFont="1" applyFill="1" applyAlignment="1">
      <alignment horizontal="center" vertical="center"/>
    </xf>
    <xf numFmtId="0" fontId="18" fillId="54" borderId="0" xfId="0" applyFont="1" applyFill="1" applyAlignment="1">
      <alignment horizontal="center" vertical="center"/>
    </xf>
    <xf numFmtId="0" fontId="17" fillId="55" borderId="0" xfId="0" applyFont="1" applyFill="1" applyAlignment="1">
      <alignment horizontal="center" vertical="center"/>
    </xf>
    <xf numFmtId="0" fontId="17" fillId="56" borderId="0" xfId="0" applyFont="1" applyFill="1" applyAlignment="1">
      <alignment horizontal="center" vertical="center"/>
    </xf>
    <xf numFmtId="0" fontId="18" fillId="57" borderId="0" xfId="0" applyFont="1" applyFill="1" applyAlignment="1">
      <alignment horizontal="center" vertical="center"/>
    </xf>
    <xf numFmtId="0" fontId="17" fillId="58" borderId="0" xfId="0" applyFont="1" applyFill="1" applyAlignment="1">
      <alignment horizontal="center" vertical="center"/>
    </xf>
    <xf numFmtId="0" fontId="17" fillId="59" borderId="0" xfId="0" applyFont="1" applyFill="1" applyAlignment="1">
      <alignment horizontal="center" vertical="center"/>
    </xf>
    <xf numFmtId="0" fontId="17" fillId="60" borderId="0" xfId="0" applyFont="1" applyFill="1" applyAlignment="1">
      <alignment horizontal="center" vertical="center"/>
    </xf>
    <xf numFmtId="0" fontId="17" fillId="61" borderId="0" xfId="0" applyFont="1" applyFill="1" applyAlignment="1">
      <alignment horizontal="center" vertical="center"/>
    </xf>
    <xf numFmtId="0" fontId="17" fillId="62" borderId="0" xfId="0" applyFont="1" applyFill="1" applyAlignment="1">
      <alignment horizontal="center" vertical="center"/>
    </xf>
    <xf numFmtId="0" fontId="18" fillId="63" borderId="0" xfId="0" applyFont="1" applyFill="1" applyAlignment="1">
      <alignment horizontal="center" vertical="center"/>
    </xf>
    <xf numFmtId="0" fontId="18" fillId="64" borderId="0" xfId="0" applyFont="1" applyFill="1" applyAlignment="1">
      <alignment horizontal="center" vertical="center"/>
    </xf>
    <xf numFmtId="0" fontId="17" fillId="65" borderId="0" xfId="0" applyFont="1" applyFill="1" applyAlignment="1">
      <alignment horizontal="center" vertical="center"/>
    </xf>
    <xf numFmtId="0" fontId="17" fillId="66" borderId="0" xfId="0" applyFont="1" applyFill="1" applyAlignment="1">
      <alignment horizontal="center" vertical="center"/>
    </xf>
    <xf numFmtId="0" fontId="17" fillId="67" borderId="0" xfId="0" applyFont="1" applyFill="1" applyAlignment="1">
      <alignment horizontal="center" vertical="center"/>
    </xf>
    <xf numFmtId="0" fontId="17" fillId="68" borderId="0" xfId="0" applyFont="1" applyFill="1" applyAlignment="1">
      <alignment horizontal="center" vertical="center"/>
    </xf>
    <xf numFmtId="0" fontId="17" fillId="69" borderId="0" xfId="0" applyFont="1" applyFill="1" applyAlignment="1">
      <alignment horizontal="center" vertical="center"/>
    </xf>
    <xf numFmtId="0" fontId="18" fillId="70" borderId="0" xfId="0" applyFont="1" applyFill="1" applyAlignment="1">
      <alignment horizontal="center" vertical="center"/>
    </xf>
    <xf numFmtId="0" fontId="17" fillId="71" borderId="0" xfId="0" applyFont="1" applyFill="1" applyAlignment="1">
      <alignment horizontal="center" vertical="center"/>
    </xf>
    <xf numFmtId="0" fontId="17" fillId="72" borderId="0" xfId="0" applyFont="1" applyFill="1" applyAlignment="1">
      <alignment horizontal="center" vertical="center"/>
    </xf>
    <xf numFmtId="0" fontId="17" fillId="73" borderId="0" xfId="0" applyFont="1" applyFill="1" applyAlignment="1">
      <alignment horizontal="center" vertical="center"/>
    </xf>
    <xf numFmtId="0" fontId="17" fillId="74" borderId="0" xfId="0" applyFont="1" applyFill="1" applyAlignment="1">
      <alignment horizontal="center" vertical="center"/>
    </xf>
    <xf numFmtId="0" fontId="17" fillId="75" borderId="0" xfId="0" applyFont="1" applyFill="1" applyAlignment="1">
      <alignment horizontal="center" vertical="center"/>
    </xf>
    <xf numFmtId="0" fontId="17" fillId="76" borderId="0" xfId="0" applyFont="1" applyFill="1" applyAlignment="1">
      <alignment horizontal="center" vertical="center"/>
    </xf>
    <xf numFmtId="0" fontId="18" fillId="77" borderId="0" xfId="0" applyFont="1" applyFill="1" applyAlignment="1">
      <alignment horizontal="center" vertical="center"/>
    </xf>
    <xf numFmtId="0" fontId="17" fillId="78" borderId="0" xfId="0" applyFont="1" applyFill="1" applyAlignment="1">
      <alignment horizontal="center" vertical="center"/>
    </xf>
    <xf numFmtId="0" fontId="17" fillId="79" borderId="0" xfId="0" applyFont="1" applyFill="1" applyAlignment="1">
      <alignment horizontal="center" vertical="center"/>
    </xf>
    <xf numFmtId="0" fontId="17" fillId="80" borderId="0" xfId="0" applyFont="1" applyFill="1" applyAlignment="1">
      <alignment horizontal="center" vertical="center"/>
    </xf>
    <xf numFmtId="0" fontId="17" fillId="81" borderId="0" xfId="0" applyFont="1" applyFill="1" applyAlignment="1">
      <alignment horizontal="center" vertical="center"/>
    </xf>
    <xf numFmtId="0" fontId="17" fillId="82" borderId="0" xfId="0" applyFont="1" applyFill="1" applyAlignment="1">
      <alignment horizontal="center" vertical="center"/>
    </xf>
    <xf numFmtId="0" fontId="17" fillId="83" borderId="0" xfId="0" applyFont="1" applyFill="1" applyAlignment="1">
      <alignment horizontal="center" vertical="center"/>
    </xf>
    <xf numFmtId="0" fontId="17" fillId="84" borderId="0" xfId="0" applyFont="1" applyFill="1" applyAlignment="1">
      <alignment horizontal="center" vertical="center"/>
    </xf>
    <xf numFmtId="0" fontId="17" fillId="85" borderId="0" xfId="0" applyFont="1" applyFill="1" applyAlignment="1">
      <alignment horizontal="center" vertical="center"/>
    </xf>
    <xf numFmtId="0" fontId="18" fillId="86" borderId="0" xfId="0" applyFont="1" applyFill="1" applyAlignment="1">
      <alignment horizontal="center" vertical="center"/>
    </xf>
    <xf numFmtId="0" fontId="17" fillId="87" borderId="0" xfId="0" applyFont="1" applyFill="1" applyAlignment="1">
      <alignment horizontal="center" vertical="center"/>
    </xf>
    <xf numFmtId="0" fontId="18" fillId="88" borderId="0" xfId="0" applyFont="1" applyFill="1" applyAlignment="1">
      <alignment horizontal="center" vertical="center"/>
    </xf>
    <xf numFmtId="0" fontId="17" fillId="89" borderId="0" xfId="0" applyFont="1" applyFill="1" applyAlignment="1">
      <alignment horizontal="center" vertical="center"/>
    </xf>
    <xf numFmtId="0" fontId="17" fillId="90" borderId="0" xfId="0" applyFont="1" applyFill="1" applyAlignment="1">
      <alignment horizontal="center" vertical="center"/>
    </xf>
    <xf numFmtId="0" fontId="17" fillId="91" borderId="0" xfId="0" applyFont="1" applyFill="1" applyAlignment="1">
      <alignment horizontal="center" vertical="center"/>
    </xf>
    <xf numFmtId="0" fontId="17" fillId="92" borderId="0" xfId="0" applyFont="1" applyFill="1" applyAlignment="1">
      <alignment horizontal="center" vertical="center"/>
    </xf>
    <xf numFmtId="0" fontId="18" fillId="93" borderId="0" xfId="0" applyFont="1" applyFill="1" applyAlignment="1">
      <alignment horizontal="center" vertical="center"/>
    </xf>
    <xf numFmtId="0" fontId="17" fillId="94" borderId="0" xfId="0" applyFont="1" applyFill="1" applyAlignment="1">
      <alignment horizontal="center" vertical="center"/>
    </xf>
    <xf numFmtId="0" fontId="17" fillId="95" borderId="0" xfId="0" applyFont="1" applyFill="1" applyAlignment="1">
      <alignment horizontal="center" vertical="center"/>
    </xf>
    <xf numFmtId="0" fontId="17" fillId="96" borderId="0" xfId="0" applyFont="1" applyFill="1" applyAlignment="1">
      <alignment horizontal="center" vertical="center"/>
    </xf>
    <xf numFmtId="0" fontId="17" fillId="97" borderId="0" xfId="0" applyFont="1" applyFill="1" applyAlignment="1">
      <alignment horizontal="center" vertical="center"/>
    </xf>
    <xf numFmtId="0" fontId="18" fillId="98" borderId="0" xfId="0" applyFont="1" applyFill="1" applyAlignment="1">
      <alignment horizontal="center" vertical="center"/>
    </xf>
    <xf numFmtId="0" fontId="17" fillId="99" borderId="0" xfId="0" applyFont="1" applyFill="1" applyAlignment="1">
      <alignment horizontal="center" vertical="center"/>
    </xf>
    <xf numFmtId="0" fontId="17" fillId="100" borderId="0" xfId="0" applyFont="1" applyFill="1" applyAlignment="1">
      <alignment horizontal="center" vertical="center"/>
    </xf>
    <xf numFmtId="0" fontId="17" fillId="101" borderId="0" xfId="0" applyFont="1" applyFill="1" applyAlignment="1">
      <alignment horizontal="center" vertical="center"/>
    </xf>
    <xf numFmtId="0" fontId="17" fillId="102" borderId="0" xfId="0" applyFont="1" applyFill="1" applyAlignment="1">
      <alignment horizontal="center" vertical="center"/>
    </xf>
    <xf numFmtId="0" fontId="18" fillId="103" borderId="0" xfId="0" applyFont="1" applyFill="1" applyAlignment="1">
      <alignment horizontal="center" vertical="center"/>
    </xf>
    <xf numFmtId="0" fontId="17" fillId="104" borderId="0" xfId="0" applyFont="1" applyFill="1" applyAlignment="1">
      <alignment horizontal="center" vertical="center"/>
    </xf>
    <xf numFmtId="0" fontId="17" fillId="105" borderId="0" xfId="0" applyFont="1" applyFill="1" applyAlignment="1">
      <alignment horizontal="center" vertical="center"/>
    </xf>
    <xf numFmtId="0" fontId="18" fillId="106" borderId="0" xfId="0" applyFont="1" applyFill="1" applyAlignment="1">
      <alignment horizontal="center" vertical="center"/>
    </xf>
    <xf numFmtId="0" fontId="17" fillId="107" borderId="0" xfId="0" applyFont="1" applyFill="1" applyAlignment="1">
      <alignment horizontal="center" vertical="center"/>
    </xf>
    <xf numFmtId="0" fontId="17" fillId="108" borderId="0" xfId="0" applyFont="1" applyFill="1" applyAlignment="1">
      <alignment horizontal="center" vertical="center"/>
    </xf>
    <xf numFmtId="0" fontId="17" fillId="109" borderId="0" xfId="0" applyFont="1" applyFill="1" applyAlignment="1">
      <alignment horizontal="center" vertical="center"/>
    </xf>
    <xf numFmtId="0" fontId="17" fillId="110" borderId="0" xfId="0" applyFont="1" applyFill="1" applyAlignment="1">
      <alignment horizontal="center" vertical="center"/>
    </xf>
    <xf numFmtId="0" fontId="17" fillId="111" borderId="0" xfId="0" applyFont="1" applyFill="1" applyAlignment="1">
      <alignment horizontal="center" vertical="center"/>
    </xf>
    <xf numFmtId="0" fontId="17" fillId="112" borderId="0" xfId="0" applyFont="1" applyFill="1" applyAlignment="1">
      <alignment horizontal="center" vertical="center"/>
    </xf>
    <xf numFmtId="0" fontId="17" fillId="113" borderId="0" xfId="0" applyFont="1" applyFill="1" applyAlignment="1">
      <alignment horizontal="center" vertical="center"/>
    </xf>
    <xf numFmtId="0" fontId="17" fillId="114" borderId="0" xfId="0" applyFont="1" applyFill="1" applyAlignment="1">
      <alignment horizontal="center" vertical="center"/>
    </xf>
    <xf numFmtId="0" fontId="17" fillId="115" borderId="0" xfId="0" applyFont="1" applyFill="1" applyAlignment="1">
      <alignment horizontal="center" vertical="center"/>
    </xf>
    <xf numFmtId="0" fontId="17" fillId="116" borderId="0" xfId="0" applyFont="1" applyFill="1" applyAlignment="1">
      <alignment horizontal="center" vertical="center"/>
    </xf>
    <xf numFmtId="0" fontId="17" fillId="117" borderId="0" xfId="0" applyFont="1" applyFill="1" applyAlignment="1">
      <alignment horizontal="center" vertical="center"/>
    </xf>
    <xf numFmtId="0" fontId="17" fillId="118" borderId="0" xfId="0" applyFont="1" applyFill="1" applyAlignment="1">
      <alignment horizontal="center" vertical="center"/>
    </xf>
    <xf numFmtId="0" fontId="17" fillId="119" borderId="0" xfId="0" applyFont="1" applyFill="1" applyAlignment="1">
      <alignment horizontal="center" vertical="center"/>
    </xf>
    <xf numFmtId="0" fontId="17" fillId="120" borderId="0" xfId="0" applyFont="1" applyFill="1" applyAlignment="1">
      <alignment horizontal="center" vertical="center"/>
    </xf>
    <xf numFmtId="0" fontId="18" fillId="121" borderId="0" xfId="0" applyFont="1" applyFill="1" applyAlignment="1">
      <alignment horizontal="center" vertical="center"/>
    </xf>
    <xf numFmtId="0" fontId="17" fillId="122" borderId="0" xfId="0" applyFont="1" applyFill="1" applyAlignment="1">
      <alignment horizontal="center" vertical="center"/>
    </xf>
    <xf numFmtId="0" fontId="18" fillId="123" borderId="0" xfId="0" applyFont="1" applyFill="1" applyAlignment="1">
      <alignment horizontal="center" vertical="center"/>
    </xf>
    <xf numFmtId="0" fontId="17" fillId="124" borderId="0" xfId="0" applyFont="1" applyFill="1" applyAlignment="1">
      <alignment horizontal="center" vertical="center"/>
    </xf>
    <xf numFmtId="0" fontId="17" fillId="125" borderId="0" xfId="0" applyFont="1" applyFill="1" applyAlignment="1">
      <alignment horizontal="center" vertical="center"/>
    </xf>
    <xf numFmtId="0" fontId="18" fillId="126" borderId="0" xfId="0" applyFont="1" applyFill="1" applyAlignment="1">
      <alignment horizontal="center" vertical="center"/>
    </xf>
    <xf numFmtId="0" fontId="17" fillId="127" borderId="0" xfId="0" applyFont="1" applyFill="1" applyAlignment="1">
      <alignment horizontal="center" vertical="center"/>
    </xf>
    <xf numFmtId="0" fontId="17" fillId="128" borderId="0" xfId="0" applyFont="1" applyFill="1" applyAlignment="1">
      <alignment horizontal="center" vertical="center"/>
    </xf>
    <xf numFmtId="0" fontId="17" fillId="129" borderId="0" xfId="0" applyFont="1" applyFill="1" applyAlignment="1">
      <alignment horizontal="center" vertical="center"/>
    </xf>
    <xf numFmtId="0" fontId="18" fillId="130" borderId="0" xfId="0" applyFont="1" applyFill="1" applyAlignment="1">
      <alignment horizontal="center" vertical="center"/>
    </xf>
    <xf numFmtId="0" fontId="17" fillId="131" borderId="0" xfId="0" applyFont="1" applyFill="1" applyAlignment="1">
      <alignment horizontal="center" vertical="center"/>
    </xf>
    <xf numFmtId="0" fontId="17" fillId="132" borderId="0" xfId="0" applyFont="1" applyFill="1" applyAlignment="1">
      <alignment horizontal="center" vertical="center"/>
    </xf>
    <xf numFmtId="0" fontId="17" fillId="133" borderId="0" xfId="0" applyFont="1" applyFill="1" applyAlignment="1">
      <alignment horizontal="center" vertical="center"/>
    </xf>
    <xf numFmtId="0" fontId="18" fillId="134" borderId="0" xfId="0" applyFont="1" applyFill="1" applyAlignment="1">
      <alignment horizontal="center" vertical="center"/>
    </xf>
    <xf numFmtId="0" fontId="17" fillId="135" borderId="0" xfId="0" applyFont="1" applyFill="1" applyAlignment="1">
      <alignment horizontal="center" vertical="center"/>
    </xf>
    <xf numFmtId="0" fontId="17" fillId="136" borderId="0" xfId="0" applyFont="1" applyFill="1" applyAlignment="1">
      <alignment horizontal="center" vertical="center"/>
    </xf>
    <xf numFmtId="0" fontId="17" fillId="137" borderId="0" xfId="0" applyFont="1" applyFill="1" applyAlignment="1">
      <alignment horizontal="center" vertical="center"/>
    </xf>
    <xf numFmtId="0" fontId="18" fillId="138" borderId="0" xfId="0" applyFont="1" applyFill="1" applyAlignment="1">
      <alignment horizontal="center" vertical="center"/>
    </xf>
    <xf numFmtId="0" fontId="17" fillId="139" borderId="0" xfId="0" applyFont="1" applyFill="1" applyAlignment="1">
      <alignment horizontal="center" vertical="center"/>
    </xf>
    <xf numFmtId="0" fontId="17" fillId="140" borderId="0" xfId="0" applyFont="1" applyFill="1" applyAlignment="1">
      <alignment horizontal="center" vertical="center"/>
    </xf>
    <xf numFmtId="0" fontId="18" fillId="141" borderId="0" xfId="0" applyFont="1" applyFill="1" applyAlignment="1">
      <alignment horizontal="center" vertical="center"/>
    </xf>
    <xf numFmtId="0" fontId="17" fillId="142" borderId="0" xfId="0" applyFont="1" applyFill="1" applyAlignment="1">
      <alignment horizontal="center" vertical="center"/>
    </xf>
    <xf numFmtId="0" fontId="17" fillId="143" borderId="0" xfId="0" applyFont="1" applyFill="1" applyAlignment="1">
      <alignment horizontal="center" vertical="center"/>
    </xf>
    <xf numFmtId="0" fontId="17" fillId="144" borderId="0" xfId="0" applyFont="1" applyFill="1" applyAlignment="1">
      <alignment horizontal="center" vertical="center"/>
    </xf>
    <xf numFmtId="0" fontId="17" fillId="145" borderId="0" xfId="0" applyFont="1" applyFill="1" applyAlignment="1">
      <alignment horizontal="center" vertical="center"/>
    </xf>
    <xf numFmtId="0" fontId="17" fillId="146" borderId="0" xfId="0" applyFont="1" applyFill="1" applyAlignment="1">
      <alignment horizontal="center" vertical="center"/>
    </xf>
    <xf numFmtId="0" fontId="17" fillId="147" borderId="0" xfId="0" applyFont="1" applyFill="1" applyAlignment="1">
      <alignment horizontal="center" vertical="center"/>
    </xf>
    <xf numFmtId="0" fontId="17" fillId="148" borderId="0" xfId="0" applyFont="1" applyFill="1" applyAlignment="1">
      <alignment horizontal="center" vertical="center"/>
    </xf>
    <xf numFmtId="0" fontId="17" fillId="149" borderId="0" xfId="0" applyFont="1" applyFill="1" applyAlignment="1">
      <alignment horizontal="center" vertical="center"/>
    </xf>
    <xf numFmtId="0" fontId="17" fillId="150" borderId="0" xfId="0" applyFont="1" applyFill="1" applyAlignment="1">
      <alignment horizontal="center" vertical="center"/>
    </xf>
    <xf numFmtId="0" fontId="17" fillId="151" borderId="0" xfId="0" applyFont="1" applyFill="1" applyAlignment="1">
      <alignment horizontal="center" vertical="center"/>
    </xf>
    <xf numFmtId="0" fontId="17" fillId="152" borderId="0" xfId="0" applyFont="1" applyFill="1" applyAlignment="1">
      <alignment horizontal="center" vertical="center"/>
    </xf>
    <xf numFmtId="0" fontId="17" fillId="153" borderId="0" xfId="0" applyFont="1" applyFill="1" applyAlignment="1">
      <alignment horizontal="center" vertical="center"/>
    </xf>
    <xf numFmtId="0" fontId="17" fillId="154" borderId="0" xfId="0" applyFont="1" applyFill="1" applyAlignment="1">
      <alignment horizontal="center" vertical="center"/>
    </xf>
    <xf numFmtId="0" fontId="17" fillId="155" borderId="0" xfId="0" applyFont="1" applyFill="1" applyAlignment="1">
      <alignment horizontal="center" vertical="center"/>
    </xf>
    <xf numFmtId="0" fontId="17" fillId="156" borderId="0" xfId="0" applyFont="1" applyFill="1" applyAlignment="1">
      <alignment horizontal="center" vertical="center"/>
    </xf>
    <xf numFmtId="0" fontId="17" fillId="157" borderId="0" xfId="0" applyFont="1" applyFill="1" applyAlignment="1">
      <alignment horizontal="center" vertical="center"/>
    </xf>
    <xf numFmtId="0" fontId="17" fillId="158" borderId="0" xfId="0" applyFont="1" applyFill="1" applyAlignment="1">
      <alignment horizontal="center" vertical="center"/>
    </xf>
    <xf numFmtId="0" fontId="17" fillId="159" borderId="0" xfId="0" applyFont="1" applyFill="1" applyAlignment="1">
      <alignment horizontal="center" vertical="center"/>
    </xf>
    <xf numFmtId="0" fontId="17" fillId="160" borderId="0" xfId="0" applyFont="1" applyFill="1" applyAlignment="1">
      <alignment horizontal="center" vertical="center"/>
    </xf>
    <xf numFmtId="0" fontId="17" fillId="161" borderId="0" xfId="0" applyFont="1" applyFill="1" applyAlignment="1">
      <alignment horizontal="center" vertical="center"/>
    </xf>
    <xf numFmtId="0" fontId="17" fillId="162" borderId="0" xfId="0" applyFont="1" applyFill="1" applyAlignment="1">
      <alignment horizontal="center" vertical="center"/>
    </xf>
    <xf numFmtId="0" fontId="17" fillId="163" borderId="0" xfId="0" applyFont="1" applyFill="1" applyAlignment="1">
      <alignment horizontal="center" vertical="center"/>
    </xf>
    <xf numFmtId="0" fontId="17" fillId="164" borderId="0" xfId="0" applyFont="1" applyFill="1" applyAlignment="1">
      <alignment horizontal="center" vertical="center"/>
    </xf>
    <xf numFmtId="0" fontId="17" fillId="165" borderId="0" xfId="0" applyFont="1" applyFill="1" applyAlignment="1">
      <alignment horizontal="center" vertical="center"/>
    </xf>
    <xf numFmtId="0" fontId="17" fillId="166" borderId="0" xfId="0" applyFont="1" applyFill="1" applyAlignment="1">
      <alignment horizontal="center" vertical="center"/>
    </xf>
    <xf numFmtId="0" fontId="17" fillId="167" borderId="0" xfId="0" applyFont="1" applyFill="1" applyAlignment="1">
      <alignment horizontal="center" vertical="center"/>
    </xf>
    <xf numFmtId="0" fontId="17" fillId="168" borderId="0" xfId="0" applyFont="1" applyFill="1" applyAlignment="1">
      <alignment horizontal="center" vertical="center"/>
    </xf>
    <xf numFmtId="0" fontId="17" fillId="169" borderId="0" xfId="0" applyFont="1" applyFill="1" applyAlignment="1">
      <alignment horizontal="center" vertical="center"/>
    </xf>
    <xf numFmtId="0" fontId="19" fillId="0" borderId="0" xfId="0" applyFont="1"/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0" fillId="2" borderId="8" xfId="0" applyFont="1" applyFill="1" applyBorder="1" applyAlignment="1">
      <alignment horizontal="left" vertical="top"/>
    </xf>
    <xf numFmtId="0" fontId="20" fillId="2" borderId="10" xfId="0" applyFont="1" applyFill="1" applyBorder="1" applyAlignment="1">
      <alignment horizontal="left" vertical="top"/>
    </xf>
    <xf numFmtId="0" fontId="20" fillId="2" borderId="12" xfId="0" applyFont="1" applyFill="1" applyBorder="1" applyAlignment="1">
      <alignment horizontal="left" vertical="top"/>
    </xf>
    <xf numFmtId="0" fontId="20" fillId="2" borderId="13" xfId="0" applyFont="1" applyFill="1" applyBorder="1" applyAlignment="1">
      <alignment horizontal="left" vertical="top"/>
    </xf>
    <xf numFmtId="0" fontId="15" fillId="170" borderId="15" xfId="0" applyFont="1" applyFill="1" applyBorder="1" applyAlignment="1">
      <alignment horizontal="center" vertical="center"/>
    </xf>
    <xf numFmtId="0" fontId="15" fillId="170" borderId="19" xfId="0" applyFont="1" applyFill="1" applyBorder="1" applyAlignment="1">
      <alignment vertical="center"/>
    </xf>
    <xf numFmtId="0" fontId="15" fillId="170" borderId="17" xfId="0" applyFont="1" applyFill="1" applyBorder="1" applyAlignment="1">
      <alignment vertical="center"/>
    </xf>
    <xf numFmtId="0" fontId="15" fillId="170" borderId="18" xfId="0" applyFont="1" applyFill="1" applyBorder="1" applyAlignment="1">
      <alignment vertical="center"/>
    </xf>
    <xf numFmtId="0" fontId="15" fillId="170" borderId="16" xfId="0" applyFont="1" applyFill="1" applyBorder="1" applyAlignment="1">
      <alignment vertical="center"/>
    </xf>
    <xf numFmtId="0" fontId="15" fillId="170" borderId="14" xfId="0" applyFont="1" applyFill="1" applyBorder="1" applyAlignment="1">
      <alignment vertical="center"/>
    </xf>
    <xf numFmtId="0" fontId="21" fillId="0" borderId="0" xfId="0" applyFont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6" fillId="0" borderId="23" xfId="0" applyFont="1" applyBorder="1"/>
    <xf numFmtId="0" fontId="2" fillId="170" borderId="23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2" fontId="2" fillId="0" borderId="7" xfId="0" applyNumberFormat="1" applyFont="1" applyBorder="1" applyAlignment="1">
      <alignment horizontal="right" vertical="center"/>
    </xf>
    <xf numFmtId="2" fontId="21" fillId="0" borderId="0" xfId="0" applyNumberFormat="1" applyFont="1" applyAlignment="1">
      <alignment vertical="center"/>
    </xf>
    <xf numFmtId="2" fontId="2" fillId="170" borderId="23" xfId="0" applyNumberFormat="1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3" fillId="171" borderId="23" xfId="0" applyFont="1" applyFill="1" applyBorder="1" applyAlignment="1">
      <alignment vertical="center"/>
    </xf>
    <xf numFmtId="0" fontId="23" fillId="171" borderId="7" xfId="0" applyFont="1" applyFill="1" applyBorder="1" applyAlignment="1">
      <alignment vertical="center"/>
    </xf>
    <xf numFmtId="3" fontId="0" fillId="0" borderId="0" xfId="0" applyNumberFormat="1"/>
    <xf numFmtId="0" fontId="23" fillId="171" borderId="25" xfId="0" applyFont="1" applyFill="1" applyBorder="1" applyAlignment="1">
      <alignment vertical="center"/>
    </xf>
    <xf numFmtId="0" fontId="23" fillId="171" borderId="22" xfId="0" applyFont="1" applyFill="1" applyBorder="1" applyAlignment="1">
      <alignment vertical="center"/>
    </xf>
    <xf numFmtId="0" fontId="23" fillId="171" borderId="26" xfId="0" applyFont="1" applyFill="1" applyBorder="1" applyAlignment="1">
      <alignment vertical="center"/>
    </xf>
    <xf numFmtId="0" fontId="23" fillId="171" borderId="24" xfId="0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24" fillId="2" borderId="5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6" fillId="0" borderId="0" xfId="0" applyFont="1"/>
    <xf numFmtId="0" fontId="27" fillId="2" borderId="7" xfId="0" applyFont="1" applyFill="1" applyBorder="1" applyAlignment="1">
      <alignment vertical="center"/>
    </xf>
    <xf numFmtId="0" fontId="27" fillId="0" borderId="21" xfId="0" applyFont="1" applyBorder="1" applyAlignment="1">
      <alignment vertical="center"/>
    </xf>
    <xf numFmtId="0" fontId="27" fillId="2" borderId="7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right" vertical="center"/>
    </xf>
    <xf numFmtId="0" fontId="27" fillId="2" borderId="7" xfId="0" applyFont="1" applyFill="1" applyBorder="1" applyAlignment="1">
      <alignment horizontal="right" vertical="center"/>
    </xf>
    <xf numFmtId="0" fontId="27" fillId="0" borderId="7" xfId="0" applyFont="1" applyBorder="1" applyAlignment="1">
      <alignment horizontal="left" vertical="center"/>
    </xf>
    <xf numFmtId="0" fontId="27" fillId="0" borderId="7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1" fillId="0" borderId="2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5" xfId="0" applyFont="1" applyBorder="1" applyAlignment="1">
      <alignment vertical="center"/>
    </xf>
    <xf numFmtId="0" fontId="28" fillId="0" borderId="7" xfId="0" applyFont="1" applyBorder="1" applyAlignment="1">
      <alignment horizontal="left" vertical="center"/>
    </xf>
    <xf numFmtId="0" fontId="28" fillId="0" borderId="21" xfId="0" applyFont="1" applyBorder="1" applyAlignment="1">
      <alignment horizontal="right" vertical="center"/>
    </xf>
    <xf numFmtId="0" fontId="28" fillId="0" borderId="7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9" fillId="0" borderId="0" xfId="0" applyFont="1"/>
    <xf numFmtId="0" fontId="30" fillId="0" borderId="0" xfId="0" applyFont="1"/>
    <xf numFmtId="0" fontId="1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31" fillId="0" borderId="20" xfId="0" applyFont="1" applyFill="1" applyBorder="1" applyAlignment="1">
      <alignment vertical="center"/>
    </xf>
    <xf numFmtId="0" fontId="32" fillId="0" borderId="21" xfId="0" applyFont="1" applyFill="1" applyBorder="1" applyAlignment="1">
      <alignment horizontal="right" vertical="center"/>
    </xf>
    <xf numFmtId="0" fontId="33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ACA73B9-F963-6449-1ECA-60BE6946D67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120651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922BDB2-5467-0A3C-9A0E-2C3DCE7E112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120649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A284090-097B-D3F5-6A37-3123DFD5F70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0F1AA41-CEE7-F0FC-0121-70224A7C4AF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120650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12F3F12E-A71D-FD4F-C509-7C45B303C83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120650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7B6CB001-BF60-301A-AC05-B6A52AA6E74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120650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5C4C342-4168-9C2A-552E-B3D6C5A4992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120650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41F9591-7C2B-5F46-5F88-A72496F293C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120651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4A9E3AF1-7FD5-CE76-CC55-1DF8C720039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120649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5BA8990E-6E2E-99D4-1993-A80264B0FEC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120650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FF0A0E76-AF7B-C634-185D-DE1FB33C425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120650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A03CB107-3185-9EE4-1045-E6F5FF8147F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4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120650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DD25F51D-EA4E-C8E6-9B83-E5983749A0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120650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B240363C-48C7-7E6D-516E-54C6B5BB674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7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120650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1A7DD398-28AE-2DDA-665A-109557B1C6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9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120651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B475DE87-4850-6EF9-87C4-ADB6CE1A839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1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19</xdr:row>
      <xdr:rowOff>120649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471AF34B-C4AC-93D6-B52A-9D9ED6A2B2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120650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00349A26-C4C8-77D7-07B8-BD317CF60A2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5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120650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A927655D-7FF0-88A2-C916-45C8ECFA0DE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120650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275D8111-A18C-C071-C9E4-83ACB63315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120650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1F434A53-5A4B-4EA2-5953-A5DF8A516D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0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120650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1F227218-A013-27AE-9693-D2CB4D63F5D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120651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1874A19E-B618-6D4A-A470-8A59AFDBC2B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4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120649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7AF0E7AA-CB83-93C5-124E-CD65121E98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27</xdr:row>
      <xdr:rowOff>120650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AB4D5ECF-EBB2-B187-C840-34521CAB6E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120650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808E779F-8A2D-F2CA-FF25-264EFF3C34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29</xdr:row>
      <xdr:rowOff>120650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F2DB0D53-D2BD-3A40-55A6-EAB96124F01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1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120650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EE34B5C0-6F4D-76B1-75A9-C2E015D6133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3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120650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2DA9BDD3-0D64-0E4A-F553-6A0D189427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5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120651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F0D6E0FC-A87A-1D0F-1CDD-6B753463C4D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7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123371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AFA3880A-BEAD-F715-7087-91CF066CCCB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35</xdr:row>
      <xdr:rowOff>120651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8F0EA559-4275-9D39-0C49-228770214C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120649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4965A8FC-0D78-A419-D0A1-B42027E0DB5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8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37</xdr:row>
      <xdr:rowOff>120651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437B501A-439D-2046-733D-F2D41609658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120649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64CCA26C-8296-8678-0F96-07F8AB053C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2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39</xdr:row>
      <xdr:rowOff>120651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29AB5A2B-D75D-88D8-E367-95C407EDEB9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4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120650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DF847EBC-F5DB-53BE-33AE-C7956FCDEE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5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120649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0C25A112-013F-ED5E-28FC-C5146866A08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120651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031273D0-04DA-244B-5DEF-D3CD93028B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9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43</xdr:row>
      <xdr:rowOff>120649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69AD7B56-AFF7-3402-A18E-7E13517FA95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120651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88F9DF6D-14F4-7D50-93CC-D25C2A78230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3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120649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2F70B0B4-57CA-290B-910E-433C50F5388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5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120651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C18FB50E-0818-C9E6-85E8-7441AE95FB5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47</xdr:row>
      <xdr:rowOff>120650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D878AC5F-CCF0-1F5D-F847-80443C7076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120649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F96CABBE-AD7F-893E-8087-4151C0C8C7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0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120651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94111264-B9D3-F069-12E2-8489B95945B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2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120649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F8E40CA8-422E-DC72-F043-D261F0AD0C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4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120651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0B6B05D0-551E-E60E-6E72-0F07A7C2609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120649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9183B19A-8410-EDA0-5253-18D1DAFDF4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7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120651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EABC7021-8B11-CCED-A983-6D7A004455F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99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120650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E440A689-CE7E-4BBE-29F5-A04F7C2721E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1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55</xdr:row>
      <xdr:rowOff>120649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AB1C28B5-05E4-160F-BF66-5F8A10EE4B8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3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120651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D65339EA-49C5-6C61-2C3A-28008286D1B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5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57</xdr:row>
      <xdr:rowOff>120649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A3296DB3-1408-8E95-0081-B35E7CE39E8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120651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A8BABF57-E4DC-B93F-71B0-B6E766402A1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9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59</xdr:row>
      <xdr:rowOff>120649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796453F2-D083-6B4B-E2EF-D10FA904F3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0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120651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E2C80755-89AC-69C1-130A-32AED857569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2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61</xdr:row>
      <xdr:rowOff>120650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05EE0C4E-61E1-5E20-DEEF-36593D1D377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120649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E1017C37-6454-E030-0F4F-E9DD2444379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6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120651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D387B3AD-D00F-6079-5FD6-6A2352C7508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18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123372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9326C4DF-4EF2-C630-591C-A06EB238964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120650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272FE0FE-2DCC-56D5-64DC-C5B87511F3D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120650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D9FE2ED2-7C24-25CA-7DF3-C201DD6AE24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7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120650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499B187B-F0E2-AFBF-4F52-E00CEADECC3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2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120650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D63FBC5C-4085-087A-B8C6-2C4C331433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70</xdr:row>
      <xdr:rowOff>120650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A51B32DD-CBD4-E869-49E1-6AC2797FC2F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3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120650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10950940-24CA-2AD1-4EEF-4724C42A80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4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120650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BB062DE7-1EB8-7D07-051F-1DB16C34E821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120650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94E5CC9D-D2F2-BD8F-7E79-7D59679CA6E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3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120650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95BB61DB-28D2-DC44-5485-A228232A831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0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120650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E8978109-F579-6E64-08EA-C796494213F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2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120650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86ED3ED5-F4EA-89D3-1790-995CCAA5F4D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4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120650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F1C8C45D-655E-5B15-2EB6-8D5CF5D8BCD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5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120650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52A97666-E562-4C92-34BB-D7CFEAA22C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120650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D8FF0196-1927-6CFA-44A9-763545BC0C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49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120650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DFE02E4B-9FEE-0BA1-869A-21CD0A7DE8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1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120650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E67B198A-1434-5D06-E5F6-5B698B1273D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120650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DB6561FF-C1F4-98CC-5F2D-FEE03869142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5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120650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326025B3-6CC2-1CCC-C283-9B0F5093826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7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120650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30BE6293-A105-7F51-98DA-56AD4C12029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58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120650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E05266F0-9E4B-1479-E61C-FD119D64866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0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120650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377E3174-6482-BFB4-4D90-0E4CA818E3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120650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4DBACE4E-3B08-6490-1F9F-3821BAECF0D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4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120650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4159372E-D25B-29B9-59B7-BDE9CB8C58D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6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120650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D6CF70B1-0C54-05F1-406E-BF4B30DBEF2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120650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123F6907-4486-F2AE-C092-C4398FC3571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120650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2E78264D-20A7-757A-205A-25878863BE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1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120650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536AF059-8384-C7C2-0D82-6CA2306724C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3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120650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FC9B1C21-7B8A-4724-CE51-BFF8672CB06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5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120650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76D9132C-9052-AC67-86C2-8054A96D40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77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AE59-903F-4374-9775-A42DE0329853}">
  <dimension ref="A1:U95"/>
  <sheetViews>
    <sheetView topLeftCell="A2" zoomScale="70" zoomScaleNormal="70" workbookViewId="0">
      <selection activeCell="P2" sqref="P2"/>
    </sheetView>
  </sheetViews>
  <sheetFormatPr defaultRowHeight="14.5" x14ac:dyDescent="0.35"/>
  <cols>
    <col min="5" max="5" width="12.26953125" bestFit="1" customWidth="1"/>
    <col min="16" max="16" width="35.81640625" bestFit="1" customWidth="1"/>
    <col min="18" max="18" width="13.81640625" bestFit="1" customWidth="1"/>
  </cols>
  <sheetData>
    <row r="1" spans="1:21" ht="16" thickBot="1" x14ac:dyDescent="0.4">
      <c r="A1" s="19" t="s">
        <v>2</v>
      </c>
      <c r="B1" s="19" t="s">
        <v>3</v>
      </c>
      <c r="C1" s="19" t="s">
        <v>4</v>
      </c>
      <c r="D1" s="19" t="s">
        <v>5</v>
      </c>
      <c r="E1" s="19" t="s">
        <v>6</v>
      </c>
      <c r="F1" s="19" t="s">
        <v>7</v>
      </c>
      <c r="G1" s="261" t="s">
        <v>0</v>
      </c>
      <c r="H1" s="261"/>
      <c r="I1" s="261"/>
      <c r="J1" s="261"/>
      <c r="K1" s="261" t="s">
        <v>1</v>
      </c>
      <c r="L1" s="261"/>
      <c r="M1" s="261"/>
      <c r="N1" s="261"/>
      <c r="O1" s="25" t="s">
        <v>4</v>
      </c>
      <c r="P1" s="25" t="s">
        <v>70</v>
      </c>
      <c r="Q1" s="25"/>
      <c r="R1" s="25" t="s">
        <v>71</v>
      </c>
      <c r="S1" s="25" t="s">
        <v>72</v>
      </c>
      <c r="T1" s="24"/>
      <c r="U1" s="24"/>
    </row>
    <row r="2" spans="1:21" ht="15.5" thickBot="1" x14ac:dyDescent="0.4">
      <c r="A2" s="20"/>
      <c r="B2" s="21"/>
      <c r="C2" s="20"/>
      <c r="D2" s="21"/>
      <c r="E2" s="21"/>
      <c r="F2" s="21"/>
      <c r="G2" s="22" t="s">
        <v>5</v>
      </c>
      <c r="H2" s="21" t="s">
        <v>8</v>
      </c>
      <c r="I2" s="21" t="s">
        <v>7</v>
      </c>
      <c r="J2" s="21" t="s">
        <v>9</v>
      </c>
      <c r="K2" s="22" t="s">
        <v>5</v>
      </c>
      <c r="L2" s="21" t="s">
        <v>8</v>
      </c>
      <c r="M2" s="21" t="s">
        <v>7</v>
      </c>
      <c r="N2" s="23" t="s">
        <v>9</v>
      </c>
      <c r="O2" s="26"/>
      <c r="P2" s="26"/>
      <c r="Q2" s="24"/>
      <c r="R2" s="24" t="s">
        <v>40</v>
      </c>
      <c r="S2" s="27">
        <v>0.5383</v>
      </c>
      <c r="T2" s="24"/>
      <c r="U2" s="24"/>
    </row>
    <row r="3" spans="1:21" ht="15" thickTop="1" x14ac:dyDescent="0.35">
      <c r="A3" s="28">
        <v>1</v>
      </c>
      <c r="B3" s="29">
        <v>2022</v>
      </c>
      <c r="C3" s="30" t="s">
        <v>10</v>
      </c>
      <c r="D3" s="29">
        <v>5849</v>
      </c>
      <c r="E3" s="29">
        <v>3048</v>
      </c>
      <c r="F3" s="31">
        <v>52.1</v>
      </c>
      <c r="G3" s="32">
        <v>3758</v>
      </c>
      <c r="H3" s="29">
        <v>1575</v>
      </c>
      <c r="I3" s="33">
        <v>41.9</v>
      </c>
      <c r="J3" s="29">
        <v>0.29899999999999999</v>
      </c>
      <c r="K3" s="32">
        <v>2091</v>
      </c>
      <c r="L3" s="29">
        <v>1473</v>
      </c>
      <c r="M3" s="33">
        <v>70.400000000000006</v>
      </c>
      <c r="N3" s="34">
        <v>0.27</v>
      </c>
      <c r="O3" s="24" t="s">
        <v>40</v>
      </c>
      <c r="P3" s="35">
        <f>(F3+F34+F65)/3</f>
        <v>53.833333333333336</v>
      </c>
      <c r="R3" s="24" t="s">
        <v>41</v>
      </c>
      <c r="S3" s="27">
        <v>0.46899999999999997</v>
      </c>
      <c r="T3" s="24"/>
      <c r="U3" s="24"/>
    </row>
    <row r="4" spans="1:21" x14ac:dyDescent="0.35">
      <c r="A4" s="36">
        <v>2</v>
      </c>
      <c r="B4" s="37">
        <v>2022</v>
      </c>
      <c r="C4" s="38" t="s">
        <v>11</v>
      </c>
      <c r="D4" s="37">
        <v>5846</v>
      </c>
      <c r="E4" s="37">
        <v>2944</v>
      </c>
      <c r="F4" s="39">
        <v>50.4</v>
      </c>
      <c r="G4" s="40">
        <v>3261</v>
      </c>
      <c r="H4" s="37">
        <v>823</v>
      </c>
      <c r="I4" s="33">
        <v>25.2</v>
      </c>
      <c r="J4" s="37">
        <v>0.28000000000000003</v>
      </c>
      <c r="K4" s="40">
        <v>2585</v>
      </c>
      <c r="L4" s="37">
        <v>2121</v>
      </c>
      <c r="M4" s="33">
        <v>82.1</v>
      </c>
      <c r="N4" s="41">
        <v>0.25900000000000001</v>
      </c>
      <c r="O4" s="24" t="s">
        <v>41</v>
      </c>
      <c r="P4" s="42">
        <f>(F4+F36+F69)/3</f>
        <v>46.9</v>
      </c>
      <c r="R4" s="24" t="s">
        <v>49</v>
      </c>
      <c r="S4" s="27">
        <v>0.41870000000000002</v>
      </c>
      <c r="T4" s="24"/>
      <c r="U4" s="24"/>
    </row>
    <row r="5" spans="1:21" x14ac:dyDescent="0.35">
      <c r="A5" s="28">
        <v>3</v>
      </c>
      <c r="B5" s="29">
        <v>2022</v>
      </c>
      <c r="C5" s="30" t="s">
        <v>12</v>
      </c>
      <c r="D5" s="29">
        <v>6033</v>
      </c>
      <c r="E5" s="29">
        <v>3036</v>
      </c>
      <c r="F5" s="43">
        <v>50.3</v>
      </c>
      <c r="G5" s="32">
        <v>3404</v>
      </c>
      <c r="H5" s="29">
        <v>1459</v>
      </c>
      <c r="I5" s="33">
        <v>42.9</v>
      </c>
      <c r="J5" s="29">
        <v>0.32900000000000001</v>
      </c>
      <c r="K5" s="32">
        <v>2629</v>
      </c>
      <c r="L5" s="29">
        <v>1577</v>
      </c>
      <c r="M5" s="33">
        <v>60</v>
      </c>
      <c r="N5" s="34">
        <v>0.30099999999999999</v>
      </c>
      <c r="O5" s="24" t="s">
        <v>42</v>
      </c>
      <c r="P5" s="42">
        <f>(F5+F57+F77)/3</f>
        <v>37.333333333333336</v>
      </c>
      <c r="R5" s="24" t="s">
        <v>45</v>
      </c>
      <c r="S5" s="27">
        <v>0.39770000000000005</v>
      </c>
      <c r="T5" s="24"/>
      <c r="U5" s="24"/>
    </row>
    <row r="6" spans="1:21" x14ac:dyDescent="0.35">
      <c r="A6" s="36">
        <v>4</v>
      </c>
      <c r="B6" s="37">
        <v>2022</v>
      </c>
      <c r="C6" s="38" t="s">
        <v>13</v>
      </c>
      <c r="D6" s="37">
        <v>5946</v>
      </c>
      <c r="E6" s="37">
        <v>2693</v>
      </c>
      <c r="F6" s="44">
        <v>45.3</v>
      </c>
      <c r="G6" s="40">
        <v>3636</v>
      </c>
      <c r="H6" s="37">
        <v>1231</v>
      </c>
      <c r="I6" s="33">
        <v>33.9</v>
      </c>
      <c r="J6" s="37">
        <v>0.32500000000000001</v>
      </c>
      <c r="K6" s="40">
        <v>2310</v>
      </c>
      <c r="L6" s="37">
        <v>1462</v>
      </c>
      <c r="M6" s="33">
        <v>63.3</v>
      </c>
      <c r="N6" s="41">
        <v>0.26100000000000001</v>
      </c>
      <c r="O6" s="24" t="s">
        <v>43</v>
      </c>
      <c r="P6" s="42">
        <f>(F6+F48+F82)/3</f>
        <v>36.499999999999993</v>
      </c>
      <c r="R6" s="24" t="s">
        <v>44</v>
      </c>
      <c r="S6" s="27">
        <v>0.3967</v>
      </c>
      <c r="T6" s="24"/>
      <c r="U6" s="24"/>
    </row>
    <row r="7" spans="1:21" x14ac:dyDescent="0.35">
      <c r="A7" s="28">
        <v>5</v>
      </c>
      <c r="B7" s="29">
        <v>2022</v>
      </c>
      <c r="C7" s="30" t="s">
        <v>14</v>
      </c>
      <c r="D7" s="29">
        <v>6021</v>
      </c>
      <c r="E7" s="29">
        <v>2642</v>
      </c>
      <c r="F7" s="45">
        <v>43.9</v>
      </c>
      <c r="G7" s="32">
        <v>3562</v>
      </c>
      <c r="H7" s="29">
        <v>916</v>
      </c>
      <c r="I7" s="33">
        <v>25.7</v>
      </c>
      <c r="J7" s="29">
        <v>0.32600000000000001</v>
      </c>
      <c r="K7" s="32">
        <v>2459</v>
      </c>
      <c r="L7" s="29">
        <v>1726</v>
      </c>
      <c r="M7" s="33">
        <v>70.2</v>
      </c>
      <c r="N7" s="34">
        <v>0.30599999999999999</v>
      </c>
      <c r="O7" s="24" t="s">
        <v>44</v>
      </c>
      <c r="P7" s="42">
        <f>(F7+F44+F71)/3</f>
        <v>39.666666666666664</v>
      </c>
      <c r="R7" s="24" t="s">
        <v>42</v>
      </c>
      <c r="S7" s="27">
        <v>0.37329999999999997</v>
      </c>
      <c r="T7" s="24"/>
      <c r="U7" s="24"/>
    </row>
    <row r="8" spans="1:21" x14ac:dyDescent="0.35">
      <c r="A8" s="36">
        <v>6</v>
      </c>
      <c r="B8" s="37">
        <v>2022</v>
      </c>
      <c r="C8" s="38" t="s">
        <v>15</v>
      </c>
      <c r="D8" s="37">
        <v>6032</v>
      </c>
      <c r="E8" s="37">
        <v>2649</v>
      </c>
      <c r="F8" s="45">
        <v>43.9</v>
      </c>
      <c r="G8" s="40">
        <v>3606</v>
      </c>
      <c r="H8" s="37">
        <v>1303</v>
      </c>
      <c r="I8" s="33">
        <v>36.1</v>
      </c>
      <c r="J8" s="37">
        <v>0.32900000000000001</v>
      </c>
      <c r="K8" s="40">
        <v>2426</v>
      </c>
      <c r="L8" s="37">
        <v>1346</v>
      </c>
      <c r="M8" s="46">
        <v>55.5</v>
      </c>
      <c r="N8" s="41">
        <v>0.307</v>
      </c>
      <c r="O8" s="24" t="s">
        <v>45</v>
      </c>
      <c r="P8" s="42">
        <f>(F8+F41+F73)/3</f>
        <v>39.766666666666666</v>
      </c>
      <c r="R8" s="24" t="s">
        <v>56</v>
      </c>
      <c r="S8" s="27">
        <v>0.37</v>
      </c>
      <c r="T8" s="24"/>
      <c r="U8" s="24"/>
    </row>
    <row r="9" spans="1:21" x14ac:dyDescent="0.35">
      <c r="A9" s="28">
        <v>7</v>
      </c>
      <c r="B9" s="29">
        <v>2022</v>
      </c>
      <c r="C9" s="30" t="s">
        <v>16</v>
      </c>
      <c r="D9" s="29">
        <v>6124</v>
      </c>
      <c r="E9" s="29">
        <v>2352</v>
      </c>
      <c r="F9" s="47">
        <v>38.4</v>
      </c>
      <c r="G9" s="32">
        <v>3389</v>
      </c>
      <c r="H9" s="29">
        <v>617</v>
      </c>
      <c r="I9" s="48">
        <v>18.2</v>
      </c>
      <c r="J9" s="29">
        <v>0.32100000000000001</v>
      </c>
      <c r="K9" s="32">
        <v>2735</v>
      </c>
      <c r="L9" s="29">
        <v>1735</v>
      </c>
      <c r="M9" s="33">
        <v>63.4</v>
      </c>
      <c r="N9" s="34">
        <v>0.29799999999999999</v>
      </c>
      <c r="O9" s="24" t="s">
        <v>46</v>
      </c>
      <c r="P9" s="42">
        <f>(F9+F60+F86)/3</f>
        <v>29.333333333333332</v>
      </c>
      <c r="R9" s="24" t="s">
        <v>53</v>
      </c>
      <c r="S9" s="27">
        <v>0.36570000000000003</v>
      </c>
      <c r="T9" s="24"/>
      <c r="U9" s="24"/>
    </row>
    <row r="10" spans="1:21" x14ac:dyDescent="0.35">
      <c r="A10" s="36">
        <v>8</v>
      </c>
      <c r="B10" s="37">
        <v>2022</v>
      </c>
      <c r="C10" s="38" t="s">
        <v>17</v>
      </c>
      <c r="D10" s="37">
        <v>6088</v>
      </c>
      <c r="E10" s="37">
        <v>2313</v>
      </c>
      <c r="F10" s="49">
        <v>38</v>
      </c>
      <c r="G10" s="40">
        <v>3563</v>
      </c>
      <c r="H10" s="37">
        <v>792</v>
      </c>
      <c r="I10" s="50">
        <v>22.2</v>
      </c>
      <c r="J10" s="37">
        <v>0.314</v>
      </c>
      <c r="K10" s="40">
        <v>2525</v>
      </c>
      <c r="L10" s="37">
        <v>1521</v>
      </c>
      <c r="M10" s="33">
        <v>60.2</v>
      </c>
      <c r="N10" s="41">
        <v>0.32300000000000001</v>
      </c>
      <c r="O10" s="24" t="s">
        <v>47</v>
      </c>
      <c r="P10" s="42">
        <f>(F10+F40+F78)/3</f>
        <v>36.333333333333336</v>
      </c>
      <c r="R10" s="24" t="s">
        <v>43</v>
      </c>
      <c r="S10" s="27">
        <v>0.36499999999999999</v>
      </c>
      <c r="T10" s="24"/>
      <c r="U10" s="24"/>
    </row>
    <row r="11" spans="1:21" x14ac:dyDescent="0.35">
      <c r="A11" s="28">
        <v>9</v>
      </c>
      <c r="B11" s="29">
        <v>2022</v>
      </c>
      <c r="C11" s="30" t="s">
        <v>18</v>
      </c>
      <c r="D11" s="29">
        <v>5935</v>
      </c>
      <c r="E11" s="29">
        <v>2243</v>
      </c>
      <c r="F11" s="51">
        <v>37.799999999999997</v>
      </c>
      <c r="G11" s="32">
        <v>3509</v>
      </c>
      <c r="H11" s="29">
        <v>1104</v>
      </c>
      <c r="I11" s="33">
        <v>31.5</v>
      </c>
      <c r="J11" s="29">
        <v>0.29199999999999998</v>
      </c>
      <c r="K11" s="32">
        <v>2426</v>
      </c>
      <c r="L11" s="29">
        <v>1139</v>
      </c>
      <c r="M11" s="52">
        <v>46.9</v>
      </c>
      <c r="N11" s="34">
        <v>0.32600000000000001</v>
      </c>
      <c r="O11" s="24" t="s">
        <v>48</v>
      </c>
      <c r="P11" s="42">
        <f>(F11+F35+F91)/3</f>
        <v>36.466666666666669</v>
      </c>
      <c r="R11" s="24" t="s">
        <v>48</v>
      </c>
      <c r="S11" s="27">
        <v>0.36469999999999997</v>
      </c>
      <c r="T11" s="24"/>
      <c r="U11" s="24"/>
    </row>
    <row r="12" spans="1:21" x14ac:dyDescent="0.35">
      <c r="A12" s="36">
        <v>10</v>
      </c>
      <c r="B12" s="37">
        <v>2022</v>
      </c>
      <c r="C12" s="38" t="s">
        <v>19</v>
      </c>
      <c r="D12" s="37">
        <v>6027</v>
      </c>
      <c r="E12" s="37">
        <v>2228</v>
      </c>
      <c r="F12" s="53">
        <v>37</v>
      </c>
      <c r="G12" s="40">
        <v>3771</v>
      </c>
      <c r="H12" s="37">
        <v>727</v>
      </c>
      <c r="I12" s="54">
        <v>19.3</v>
      </c>
      <c r="J12" s="37">
        <v>0.30199999999999999</v>
      </c>
      <c r="K12" s="40">
        <v>2256</v>
      </c>
      <c r="L12" s="37">
        <v>1501</v>
      </c>
      <c r="M12" s="33">
        <v>66.5</v>
      </c>
      <c r="N12" s="41">
        <v>0.32200000000000001</v>
      </c>
      <c r="O12" s="24" t="s">
        <v>49</v>
      </c>
      <c r="P12" s="42">
        <f>(F12+F38+F66)/3</f>
        <v>41.866666666666667</v>
      </c>
      <c r="R12" s="24"/>
      <c r="S12" s="24"/>
      <c r="T12" s="24"/>
      <c r="U12" s="24"/>
    </row>
    <row r="13" spans="1:21" x14ac:dyDescent="0.35">
      <c r="A13" s="28">
        <v>11</v>
      </c>
      <c r="B13" s="29">
        <v>2022</v>
      </c>
      <c r="C13" s="30" t="s">
        <v>20</v>
      </c>
      <c r="D13" s="29">
        <v>6124</v>
      </c>
      <c r="E13" s="29">
        <v>2199</v>
      </c>
      <c r="F13" s="55">
        <v>35.9</v>
      </c>
      <c r="G13" s="32">
        <v>3956</v>
      </c>
      <c r="H13" s="29">
        <v>842</v>
      </c>
      <c r="I13" s="56">
        <v>21.3</v>
      </c>
      <c r="J13" s="29">
        <v>0.34499999999999997</v>
      </c>
      <c r="K13" s="32">
        <v>2168</v>
      </c>
      <c r="L13" s="29">
        <v>1357</v>
      </c>
      <c r="M13" s="33">
        <v>62.6</v>
      </c>
      <c r="N13" s="34">
        <v>0.30099999999999999</v>
      </c>
      <c r="O13" s="24" t="s">
        <v>50</v>
      </c>
      <c r="P13" s="42">
        <f>(F13+F50+F81)/3</f>
        <v>33.433333333333337</v>
      </c>
      <c r="R13" s="24"/>
      <c r="S13" s="24"/>
      <c r="T13" s="24"/>
      <c r="U13" s="24"/>
    </row>
    <row r="14" spans="1:21" x14ac:dyDescent="0.35">
      <c r="A14" s="36">
        <v>12</v>
      </c>
      <c r="B14" s="37">
        <v>2022</v>
      </c>
      <c r="C14" s="38" t="s">
        <v>21</v>
      </c>
      <c r="D14" s="37">
        <v>6105</v>
      </c>
      <c r="E14" s="37">
        <v>2155</v>
      </c>
      <c r="F14" s="57">
        <v>35.299999999999997</v>
      </c>
      <c r="G14" s="40">
        <v>3879</v>
      </c>
      <c r="H14" s="37">
        <v>581</v>
      </c>
      <c r="I14" s="58">
        <v>15</v>
      </c>
      <c r="J14" s="37">
        <v>0.32</v>
      </c>
      <c r="K14" s="40">
        <v>2226</v>
      </c>
      <c r="L14" s="37">
        <v>1574</v>
      </c>
      <c r="M14" s="33">
        <v>70.7</v>
      </c>
      <c r="N14" s="41">
        <v>0.31900000000000001</v>
      </c>
      <c r="O14" s="24" t="s">
        <v>51</v>
      </c>
      <c r="P14" s="42">
        <f>(F14+F46+F89)/3</f>
        <v>31.633333333333336</v>
      </c>
      <c r="R14" s="24"/>
      <c r="S14" s="24"/>
      <c r="T14" s="24"/>
      <c r="U14" s="24"/>
    </row>
    <row r="15" spans="1:21" x14ac:dyDescent="0.35">
      <c r="A15" s="28">
        <v>13</v>
      </c>
      <c r="B15" s="29">
        <v>2022</v>
      </c>
      <c r="C15" s="30" t="s">
        <v>22</v>
      </c>
      <c r="D15" s="29">
        <v>6000</v>
      </c>
      <c r="E15" s="29">
        <v>2109</v>
      </c>
      <c r="F15" s="59">
        <v>35.200000000000003</v>
      </c>
      <c r="G15" s="32">
        <v>3860</v>
      </c>
      <c r="H15" s="29">
        <v>770</v>
      </c>
      <c r="I15" s="60">
        <v>19.899999999999999</v>
      </c>
      <c r="J15" s="29">
        <v>0.32200000000000001</v>
      </c>
      <c r="K15" s="32">
        <v>2140</v>
      </c>
      <c r="L15" s="29">
        <v>1339</v>
      </c>
      <c r="M15" s="33">
        <v>62.6</v>
      </c>
      <c r="N15" s="34">
        <v>0.318</v>
      </c>
      <c r="O15" s="24" t="s">
        <v>52</v>
      </c>
      <c r="P15" s="42">
        <f>(F15+F47+F90)/3</f>
        <v>29.5</v>
      </c>
      <c r="R15" s="24"/>
      <c r="S15" s="24"/>
      <c r="T15" s="24"/>
      <c r="U15" s="24"/>
    </row>
    <row r="16" spans="1:21" x14ac:dyDescent="0.35">
      <c r="A16" s="36">
        <v>14</v>
      </c>
      <c r="B16" s="37">
        <v>2022</v>
      </c>
      <c r="C16" s="38" t="s">
        <v>23</v>
      </c>
      <c r="D16" s="37">
        <v>6205</v>
      </c>
      <c r="E16" s="37">
        <v>2042</v>
      </c>
      <c r="F16" s="61">
        <v>32.9</v>
      </c>
      <c r="G16" s="40">
        <v>3618</v>
      </c>
      <c r="H16" s="37">
        <v>467</v>
      </c>
      <c r="I16" s="62">
        <v>12.9</v>
      </c>
      <c r="J16" s="37">
        <v>0.38100000000000001</v>
      </c>
      <c r="K16" s="40">
        <v>2587</v>
      </c>
      <c r="L16" s="37">
        <v>1575</v>
      </c>
      <c r="M16" s="33">
        <v>60.9</v>
      </c>
      <c r="N16" s="41">
        <v>0.34399999999999997</v>
      </c>
      <c r="O16" s="24" t="s">
        <v>53</v>
      </c>
      <c r="P16" s="42">
        <f>(F16+F43+F70)/3</f>
        <v>36.566666666666663</v>
      </c>
      <c r="R16" s="24"/>
      <c r="S16" s="24"/>
      <c r="T16" s="24"/>
      <c r="U16" s="24"/>
    </row>
    <row r="17" spans="1:21" x14ac:dyDescent="0.35">
      <c r="A17" s="28">
        <v>15</v>
      </c>
      <c r="B17" s="29">
        <v>2022</v>
      </c>
      <c r="C17" s="30" t="s">
        <v>24</v>
      </c>
      <c r="D17" s="29">
        <v>6083</v>
      </c>
      <c r="E17" s="29">
        <v>1946</v>
      </c>
      <c r="F17" s="63">
        <v>32</v>
      </c>
      <c r="G17" s="32">
        <v>3793</v>
      </c>
      <c r="H17" s="29">
        <v>743</v>
      </c>
      <c r="I17" s="64">
        <v>19.600000000000001</v>
      </c>
      <c r="J17" s="29">
        <v>0.32</v>
      </c>
      <c r="K17" s="32">
        <v>2290</v>
      </c>
      <c r="L17" s="29">
        <v>1203</v>
      </c>
      <c r="M17" s="65">
        <v>52.5</v>
      </c>
      <c r="N17" s="34">
        <v>0.33</v>
      </c>
      <c r="O17" s="24" t="s">
        <v>54</v>
      </c>
      <c r="P17" s="42">
        <f>(F17+F39+F85)/3</f>
        <v>32.433333333333337</v>
      </c>
      <c r="R17" s="24"/>
      <c r="S17" s="24"/>
      <c r="T17" s="24"/>
      <c r="U17" s="24"/>
    </row>
    <row r="18" spans="1:21" x14ac:dyDescent="0.35">
      <c r="A18" s="36">
        <v>16</v>
      </c>
      <c r="B18" s="37">
        <v>2022</v>
      </c>
      <c r="C18" s="38" t="s">
        <v>25</v>
      </c>
      <c r="D18" s="37">
        <v>6051</v>
      </c>
      <c r="E18" s="37">
        <v>1921</v>
      </c>
      <c r="F18" s="66">
        <v>31.7</v>
      </c>
      <c r="G18" s="40">
        <v>3722</v>
      </c>
      <c r="H18" s="37">
        <v>621</v>
      </c>
      <c r="I18" s="67">
        <v>16.7</v>
      </c>
      <c r="J18" s="37">
        <v>0.32</v>
      </c>
      <c r="K18" s="40">
        <v>2329</v>
      </c>
      <c r="L18" s="37">
        <v>1300</v>
      </c>
      <c r="M18" s="68">
        <v>55.8</v>
      </c>
      <c r="N18" s="41">
        <v>0.318</v>
      </c>
      <c r="O18" s="24" t="s">
        <v>55</v>
      </c>
      <c r="P18" s="42">
        <f>(F18+F56+F84)/3</f>
        <v>29.433333333333334</v>
      </c>
      <c r="R18" s="24"/>
      <c r="S18" s="24"/>
      <c r="T18" s="24"/>
      <c r="U18" s="24"/>
    </row>
    <row r="19" spans="1:21" x14ac:dyDescent="0.35">
      <c r="A19" s="28">
        <v>17</v>
      </c>
      <c r="B19" s="29">
        <v>2022</v>
      </c>
      <c r="C19" s="30" t="s">
        <v>26</v>
      </c>
      <c r="D19" s="29">
        <v>6231</v>
      </c>
      <c r="E19" s="29">
        <v>1950</v>
      </c>
      <c r="F19" s="69">
        <v>31.3</v>
      </c>
      <c r="G19" s="32">
        <v>3617</v>
      </c>
      <c r="H19" s="29">
        <v>587</v>
      </c>
      <c r="I19" s="70">
        <v>16.2</v>
      </c>
      <c r="J19" s="29">
        <v>0.35</v>
      </c>
      <c r="K19" s="32">
        <v>2614</v>
      </c>
      <c r="L19" s="29">
        <v>1363</v>
      </c>
      <c r="M19" s="31">
        <v>52.1</v>
      </c>
      <c r="N19" s="34">
        <v>0.33100000000000002</v>
      </c>
      <c r="O19" s="24" t="s">
        <v>56</v>
      </c>
      <c r="P19" s="42">
        <f>(F19+F45+F67)/3</f>
        <v>37</v>
      </c>
      <c r="R19" s="24"/>
      <c r="S19" s="24"/>
      <c r="T19" s="24"/>
      <c r="U19" s="24"/>
    </row>
    <row r="20" spans="1:21" x14ac:dyDescent="0.35">
      <c r="A20" s="36">
        <v>18</v>
      </c>
      <c r="B20" s="37">
        <v>2022</v>
      </c>
      <c r="C20" s="38" t="s">
        <v>27</v>
      </c>
      <c r="D20" s="37">
        <v>6007</v>
      </c>
      <c r="E20" s="37">
        <v>1777</v>
      </c>
      <c r="F20" s="71">
        <v>29.6</v>
      </c>
      <c r="G20" s="40">
        <v>3436</v>
      </c>
      <c r="H20" s="37">
        <v>784</v>
      </c>
      <c r="I20" s="72">
        <v>22.8</v>
      </c>
      <c r="J20" s="37">
        <v>0.314</v>
      </c>
      <c r="K20" s="40">
        <v>2571</v>
      </c>
      <c r="L20" s="37">
        <v>993</v>
      </c>
      <c r="M20" s="73">
        <v>38.6</v>
      </c>
      <c r="N20" s="41">
        <v>0.28000000000000003</v>
      </c>
      <c r="O20" s="24" t="s">
        <v>57</v>
      </c>
      <c r="P20" s="42">
        <f>(F20+F37+F94)/3</f>
        <v>25.366666666666664</v>
      </c>
      <c r="R20" s="24"/>
      <c r="S20" s="24"/>
      <c r="T20" s="24"/>
      <c r="U20" s="24"/>
    </row>
    <row r="21" spans="1:21" x14ac:dyDescent="0.35">
      <c r="A21" s="28">
        <v>19</v>
      </c>
      <c r="B21" s="29">
        <v>2022</v>
      </c>
      <c r="C21" s="30" t="s">
        <v>28</v>
      </c>
      <c r="D21" s="29">
        <v>6158</v>
      </c>
      <c r="E21" s="29">
        <v>1817</v>
      </c>
      <c r="F21" s="71">
        <v>29.5</v>
      </c>
      <c r="G21" s="32">
        <v>3517</v>
      </c>
      <c r="H21" s="29">
        <v>354</v>
      </c>
      <c r="I21" s="74">
        <v>10.1</v>
      </c>
      <c r="J21" s="29">
        <v>0.3</v>
      </c>
      <c r="K21" s="32">
        <v>2641</v>
      </c>
      <c r="L21" s="29">
        <v>1463</v>
      </c>
      <c r="M21" s="46">
        <v>55.4</v>
      </c>
      <c r="N21" s="34">
        <v>0.30499999999999999</v>
      </c>
      <c r="O21" s="24" t="s">
        <v>58</v>
      </c>
      <c r="P21" s="42">
        <f>(F21+F54+F72)/3</f>
        <v>31.966666666666669</v>
      </c>
      <c r="R21" s="24"/>
      <c r="S21" s="24"/>
      <c r="T21" s="24"/>
      <c r="U21" s="24"/>
    </row>
    <row r="22" spans="1:21" x14ac:dyDescent="0.35">
      <c r="A22" s="36">
        <v>20</v>
      </c>
      <c r="B22" s="37">
        <v>2022</v>
      </c>
      <c r="C22" s="38" t="s">
        <v>29</v>
      </c>
      <c r="D22" s="37">
        <v>6043</v>
      </c>
      <c r="E22" s="37">
        <v>1684</v>
      </c>
      <c r="F22" s="75">
        <v>27.9</v>
      </c>
      <c r="G22" s="40">
        <v>3757</v>
      </c>
      <c r="H22" s="37">
        <v>553</v>
      </c>
      <c r="I22" s="76">
        <v>14.7</v>
      </c>
      <c r="J22" s="37">
        <v>0.36799999999999999</v>
      </c>
      <c r="K22" s="40">
        <v>2286</v>
      </c>
      <c r="L22" s="37">
        <v>1131</v>
      </c>
      <c r="M22" s="77">
        <v>49.5</v>
      </c>
      <c r="N22" s="41">
        <v>0.28899999999999998</v>
      </c>
      <c r="O22" s="24" t="s">
        <v>69</v>
      </c>
      <c r="P22" s="42">
        <f>(F22+F47+F75)/3</f>
        <v>32.466666666666661</v>
      </c>
      <c r="R22" s="24"/>
      <c r="S22" s="24"/>
      <c r="T22" s="24"/>
      <c r="U22" s="24"/>
    </row>
    <row r="23" spans="1:21" x14ac:dyDescent="0.35">
      <c r="A23" s="28">
        <v>21</v>
      </c>
      <c r="B23" s="29">
        <v>2022</v>
      </c>
      <c r="C23" s="30" t="s">
        <v>30</v>
      </c>
      <c r="D23" s="29">
        <v>6002</v>
      </c>
      <c r="E23" s="29">
        <v>1675</v>
      </c>
      <c r="F23" s="75">
        <v>27.9</v>
      </c>
      <c r="G23" s="32">
        <v>3641</v>
      </c>
      <c r="H23" s="29">
        <v>632</v>
      </c>
      <c r="I23" s="78">
        <v>17.399999999999999</v>
      </c>
      <c r="J23" s="29">
        <v>0.308</v>
      </c>
      <c r="K23" s="32">
        <v>2361</v>
      </c>
      <c r="L23" s="29">
        <v>1043</v>
      </c>
      <c r="M23" s="79">
        <v>44.2</v>
      </c>
      <c r="N23" s="34">
        <v>0.30199999999999999</v>
      </c>
      <c r="O23" s="24" t="s">
        <v>59</v>
      </c>
      <c r="P23" s="42">
        <f>(F23+F59+F92)/3</f>
        <v>22.766666666666666</v>
      </c>
      <c r="R23" s="24"/>
      <c r="S23" s="24"/>
      <c r="T23" s="24"/>
      <c r="U23" s="24"/>
    </row>
    <row r="24" spans="1:21" x14ac:dyDescent="0.35">
      <c r="A24" s="36">
        <v>22</v>
      </c>
      <c r="B24" s="37">
        <v>2022</v>
      </c>
      <c r="C24" s="38" t="s">
        <v>31</v>
      </c>
      <c r="D24" s="37">
        <v>5988</v>
      </c>
      <c r="E24" s="37">
        <v>1635</v>
      </c>
      <c r="F24" s="80">
        <v>27.3</v>
      </c>
      <c r="G24" s="40">
        <v>3615</v>
      </c>
      <c r="H24" s="37">
        <v>560</v>
      </c>
      <c r="I24" s="81">
        <v>15.5</v>
      </c>
      <c r="J24" s="37">
        <v>0.33300000000000002</v>
      </c>
      <c r="K24" s="40">
        <v>2373</v>
      </c>
      <c r="L24" s="37">
        <v>1075</v>
      </c>
      <c r="M24" s="44">
        <v>45.3</v>
      </c>
      <c r="N24" s="41">
        <v>0.29599999999999999</v>
      </c>
      <c r="O24" s="24" t="s">
        <v>60</v>
      </c>
      <c r="P24" s="42">
        <f>(F24+F63+F87)/3</f>
        <v>24.266666666666666</v>
      </c>
      <c r="R24" s="24"/>
      <c r="S24" s="24"/>
      <c r="T24" s="24"/>
      <c r="U24" s="24"/>
    </row>
    <row r="25" spans="1:21" x14ac:dyDescent="0.35">
      <c r="A25" s="28">
        <v>23</v>
      </c>
      <c r="B25" s="29">
        <v>2022</v>
      </c>
      <c r="C25" s="30" t="s">
        <v>32</v>
      </c>
      <c r="D25" s="29">
        <v>5897</v>
      </c>
      <c r="E25" s="29">
        <v>1602</v>
      </c>
      <c r="F25" s="82">
        <v>27.2</v>
      </c>
      <c r="G25" s="32">
        <v>3984</v>
      </c>
      <c r="H25" s="29">
        <v>794</v>
      </c>
      <c r="I25" s="60">
        <v>19.899999999999999</v>
      </c>
      <c r="J25" s="29">
        <v>0.33400000000000002</v>
      </c>
      <c r="K25" s="32">
        <v>1913</v>
      </c>
      <c r="L25" s="29">
        <v>808</v>
      </c>
      <c r="M25" s="60">
        <v>42.2</v>
      </c>
      <c r="N25" s="34">
        <v>0.28000000000000003</v>
      </c>
      <c r="O25" s="24" t="s">
        <v>61</v>
      </c>
      <c r="P25" s="42">
        <f>(F25+F49+F83)/3</f>
        <v>30.400000000000002</v>
      </c>
      <c r="R25" s="24"/>
      <c r="S25" s="24"/>
      <c r="T25" s="24"/>
      <c r="U25" s="24"/>
    </row>
    <row r="26" spans="1:21" x14ac:dyDescent="0.35">
      <c r="A26" s="36">
        <v>24</v>
      </c>
      <c r="B26" s="37">
        <v>2022</v>
      </c>
      <c r="C26" s="38" t="s">
        <v>33</v>
      </c>
      <c r="D26" s="37">
        <v>6039</v>
      </c>
      <c r="E26" s="37">
        <v>1615</v>
      </c>
      <c r="F26" s="83">
        <v>26.7</v>
      </c>
      <c r="G26" s="40">
        <v>3803</v>
      </c>
      <c r="H26" s="37">
        <v>554</v>
      </c>
      <c r="I26" s="84">
        <v>14.6</v>
      </c>
      <c r="J26" s="37">
        <v>0.32200000000000001</v>
      </c>
      <c r="K26" s="40">
        <v>2236</v>
      </c>
      <c r="L26" s="37">
        <v>1061</v>
      </c>
      <c r="M26" s="85">
        <v>47.5</v>
      </c>
      <c r="N26" s="41">
        <v>0.28999999999999998</v>
      </c>
      <c r="O26" s="24" t="s">
        <v>62</v>
      </c>
      <c r="P26" s="42">
        <f>(F26+F62+F68)/3</f>
        <v>29.533333333333331</v>
      </c>
      <c r="R26" s="24"/>
      <c r="S26" s="24"/>
      <c r="T26" s="24"/>
      <c r="U26" s="24"/>
    </row>
    <row r="27" spans="1:21" x14ac:dyDescent="0.35">
      <c r="A27" s="28">
        <v>25</v>
      </c>
      <c r="B27" s="29">
        <v>2022</v>
      </c>
      <c r="C27" s="30" t="s">
        <v>34</v>
      </c>
      <c r="D27" s="29">
        <v>6229</v>
      </c>
      <c r="E27" s="29">
        <v>1640</v>
      </c>
      <c r="F27" s="86">
        <v>26.3</v>
      </c>
      <c r="G27" s="32">
        <v>3837</v>
      </c>
      <c r="H27" s="29">
        <v>500</v>
      </c>
      <c r="I27" s="87">
        <v>13</v>
      </c>
      <c r="J27" s="29">
        <v>0.33600000000000002</v>
      </c>
      <c r="K27" s="32">
        <v>2392</v>
      </c>
      <c r="L27" s="29">
        <v>1140</v>
      </c>
      <c r="M27" s="88">
        <v>47.7</v>
      </c>
      <c r="N27" s="34">
        <v>0.33700000000000002</v>
      </c>
      <c r="O27" s="24" t="s">
        <v>63</v>
      </c>
      <c r="P27" s="42">
        <f>(F27+F52+F74)/3</f>
        <v>30.833333333333332</v>
      </c>
      <c r="R27" s="24"/>
      <c r="S27" s="24"/>
      <c r="T27" s="24"/>
      <c r="U27" s="24"/>
    </row>
    <row r="28" spans="1:21" x14ac:dyDescent="0.35">
      <c r="A28" s="36">
        <v>26</v>
      </c>
      <c r="B28" s="37">
        <v>2022</v>
      </c>
      <c r="C28" s="38" t="s">
        <v>35</v>
      </c>
      <c r="D28" s="37">
        <v>5909</v>
      </c>
      <c r="E28" s="37">
        <v>1523</v>
      </c>
      <c r="F28" s="89">
        <v>25.8</v>
      </c>
      <c r="G28" s="40">
        <v>3784</v>
      </c>
      <c r="H28" s="37">
        <v>395</v>
      </c>
      <c r="I28" s="90">
        <v>10.4</v>
      </c>
      <c r="J28" s="37">
        <v>0.33100000000000002</v>
      </c>
      <c r="K28" s="40">
        <v>2125</v>
      </c>
      <c r="L28" s="37">
        <v>1128</v>
      </c>
      <c r="M28" s="91">
        <v>53.1</v>
      </c>
      <c r="N28" s="41">
        <v>0.27400000000000002</v>
      </c>
      <c r="O28" s="24" t="s">
        <v>64</v>
      </c>
      <c r="P28" s="42">
        <f>(F28+F51+F79)/3</f>
        <v>29.5</v>
      </c>
      <c r="R28" s="24"/>
      <c r="S28" s="24"/>
      <c r="T28" s="24"/>
      <c r="U28" s="24"/>
    </row>
    <row r="29" spans="1:21" x14ac:dyDescent="0.35">
      <c r="A29" s="28">
        <v>27</v>
      </c>
      <c r="B29" s="29">
        <v>2022</v>
      </c>
      <c r="C29" s="30" t="s">
        <v>36</v>
      </c>
      <c r="D29" s="29">
        <v>6035</v>
      </c>
      <c r="E29" s="29">
        <v>1484</v>
      </c>
      <c r="F29" s="92">
        <v>24.6</v>
      </c>
      <c r="G29" s="32">
        <v>3653</v>
      </c>
      <c r="H29" s="29">
        <v>181</v>
      </c>
      <c r="I29" s="93">
        <v>5</v>
      </c>
      <c r="J29" s="29">
        <v>0.28599999999999998</v>
      </c>
      <c r="K29" s="32">
        <v>2382</v>
      </c>
      <c r="L29" s="29">
        <v>1303</v>
      </c>
      <c r="M29" s="94">
        <v>54.7</v>
      </c>
      <c r="N29" s="34">
        <v>0.28399999999999997</v>
      </c>
      <c r="O29" s="24" t="s">
        <v>65</v>
      </c>
      <c r="P29" s="42">
        <f>(F29+F55+F93)/3</f>
        <v>22.933333333333334</v>
      </c>
      <c r="R29" s="24"/>
      <c r="S29" s="24"/>
      <c r="T29" s="24"/>
      <c r="U29" s="24"/>
    </row>
    <row r="30" spans="1:21" x14ac:dyDescent="0.35">
      <c r="A30" s="36">
        <v>28</v>
      </c>
      <c r="B30" s="37">
        <v>2022</v>
      </c>
      <c r="C30" s="38" t="s">
        <v>37</v>
      </c>
      <c r="D30" s="37">
        <v>5993</v>
      </c>
      <c r="E30" s="37">
        <v>1414</v>
      </c>
      <c r="F30" s="95">
        <v>23.6</v>
      </c>
      <c r="G30" s="40">
        <v>3768</v>
      </c>
      <c r="H30" s="37">
        <v>380</v>
      </c>
      <c r="I30" s="74">
        <v>10.1</v>
      </c>
      <c r="J30" s="37">
        <v>0.373</v>
      </c>
      <c r="K30" s="40">
        <v>2225</v>
      </c>
      <c r="L30" s="37">
        <v>1034</v>
      </c>
      <c r="M30" s="96">
        <v>46.5</v>
      </c>
      <c r="N30" s="41">
        <v>0.312</v>
      </c>
      <c r="O30" s="24" t="s">
        <v>66</v>
      </c>
      <c r="P30" s="42">
        <f>(F30+F53+F80)/3</f>
        <v>27.8</v>
      </c>
      <c r="R30" s="24"/>
      <c r="S30" s="24"/>
      <c r="T30" s="24"/>
      <c r="U30" s="24"/>
    </row>
    <row r="31" spans="1:21" x14ac:dyDescent="0.35">
      <c r="A31" s="28">
        <v>29</v>
      </c>
      <c r="B31" s="29">
        <v>2022</v>
      </c>
      <c r="C31" s="30" t="s">
        <v>38</v>
      </c>
      <c r="D31" s="29">
        <v>5970</v>
      </c>
      <c r="E31" s="29">
        <v>1352</v>
      </c>
      <c r="F31" s="97">
        <v>22.6</v>
      </c>
      <c r="G31" s="32">
        <v>3454</v>
      </c>
      <c r="H31" s="29">
        <v>205</v>
      </c>
      <c r="I31" s="98">
        <v>5.9</v>
      </c>
      <c r="J31" s="29">
        <v>0.27400000000000002</v>
      </c>
      <c r="K31" s="32">
        <v>2516</v>
      </c>
      <c r="L31" s="29">
        <v>1147</v>
      </c>
      <c r="M31" s="99">
        <v>45.6</v>
      </c>
      <c r="N31" s="34">
        <v>0.27600000000000002</v>
      </c>
      <c r="O31" s="24" t="s">
        <v>67</v>
      </c>
      <c r="P31" s="42">
        <f>(F31+F58+F88)/3</f>
        <v>24.366666666666664</v>
      </c>
      <c r="R31" s="24"/>
      <c r="S31" s="24"/>
      <c r="T31" s="24"/>
      <c r="U31" s="24"/>
    </row>
    <row r="32" spans="1:21" x14ac:dyDescent="0.35">
      <c r="A32" s="36">
        <v>30</v>
      </c>
      <c r="B32" s="37">
        <v>2022</v>
      </c>
      <c r="C32" s="38" t="s">
        <v>39</v>
      </c>
      <c r="D32" s="208">
        <v>6228</v>
      </c>
      <c r="E32" s="209">
        <v>1158</v>
      </c>
      <c r="F32" s="209">
        <v>18.600000000000001</v>
      </c>
      <c r="G32" s="209">
        <v>3427</v>
      </c>
      <c r="H32" s="209">
        <v>378</v>
      </c>
      <c r="I32" s="209">
        <v>11</v>
      </c>
      <c r="J32" s="209">
        <v>0.34200000000000003</v>
      </c>
      <c r="K32" s="209">
        <v>2801</v>
      </c>
      <c r="L32" s="209">
        <v>780</v>
      </c>
      <c r="M32" s="209">
        <v>27.8</v>
      </c>
      <c r="N32" s="209">
        <v>0.32400000000000001</v>
      </c>
      <c r="O32" s="24" t="s">
        <v>68</v>
      </c>
      <c r="P32" s="42">
        <f>(F32+F61+F90)/3</f>
        <v>19.666666666666668</v>
      </c>
      <c r="R32" s="24"/>
      <c r="S32" s="24"/>
      <c r="T32" s="24"/>
      <c r="U32" s="24"/>
    </row>
    <row r="33" spans="1:21" x14ac:dyDescent="0.35">
      <c r="A33" s="24"/>
      <c r="B33" s="24"/>
      <c r="C33" s="24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4"/>
      <c r="P33" s="24"/>
      <c r="Q33" s="24"/>
      <c r="R33" s="24"/>
      <c r="S33" s="24"/>
      <c r="T33" s="24"/>
      <c r="U33" s="24"/>
    </row>
    <row r="34" spans="1:21" x14ac:dyDescent="0.35">
      <c r="A34" s="28">
        <v>1</v>
      </c>
      <c r="B34" s="29">
        <v>2021</v>
      </c>
      <c r="C34" s="30" t="s">
        <v>10</v>
      </c>
      <c r="D34" s="29">
        <v>5904</v>
      </c>
      <c r="E34" s="29">
        <v>3164</v>
      </c>
      <c r="F34" s="100">
        <v>53.6</v>
      </c>
      <c r="G34" s="32">
        <v>3337</v>
      </c>
      <c r="H34" s="29">
        <v>1402</v>
      </c>
      <c r="I34" s="33">
        <v>42</v>
      </c>
      <c r="J34" s="29">
        <v>0.29199999999999998</v>
      </c>
      <c r="K34" s="32">
        <v>2567</v>
      </c>
      <c r="L34" s="29">
        <v>1762</v>
      </c>
      <c r="M34" s="33">
        <v>68.599999999999994</v>
      </c>
      <c r="N34" s="34">
        <v>0.27700000000000002</v>
      </c>
      <c r="O34" s="24"/>
      <c r="P34" s="42">
        <f>AVERAGE(P3:P32)</f>
        <v>32.662222222222212</v>
      </c>
      <c r="Q34" s="24"/>
      <c r="R34" s="24"/>
      <c r="S34" s="24"/>
      <c r="T34" s="24"/>
      <c r="U34" s="24"/>
    </row>
    <row r="35" spans="1:21" x14ac:dyDescent="0.35">
      <c r="A35" s="36">
        <v>2</v>
      </c>
      <c r="B35" s="37">
        <v>2021</v>
      </c>
      <c r="C35" s="38" t="s">
        <v>18</v>
      </c>
      <c r="D35" s="37">
        <v>5764</v>
      </c>
      <c r="E35" s="37">
        <v>2891</v>
      </c>
      <c r="F35" s="50">
        <v>50.2</v>
      </c>
      <c r="G35" s="40">
        <v>3263</v>
      </c>
      <c r="H35" s="37">
        <v>1469</v>
      </c>
      <c r="I35" s="33">
        <v>45</v>
      </c>
      <c r="J35" s="37">
        <v>0.32</v>
      </c>
      <c r="K35" s="40">
        <v>2501</v>
      </c>
      <c r="L35" s="37">
        <v>1422</v>
      </c>
      <c r="M35" s="101">
        <v>56.9</v>
      </c>
      <c r="N35" s="41">
        <v>0.311</v>
      </c>
      <c r="O35" s="24"/>
      <c r="P35" s="24"/>
      <c r="Q35" s="24"/>
      <c r="R35" s="24"/>
      <c r="S35" s="24"/>
      <c r="T35" s="24"/>
      <c r="U35" s="24"/>
    </row>
    <row r="36" spans="1:21" x14ac:dyDescent="0.35">
      <c r="A36" s="28">
        <v>3</v>
      </c>
      <c r="B36" s="29">
        <v>2021</v>
      </c>
      <c r="C36" s="30" t="s">
        <v>11</v>
      </c>
      <c r="D36" s="29">
        <v>6048</v>
      </c>
      <c r="E36" s="29">
        <v>2792</v>
      </c>
      <c r="F36" s="102">
        <v>46.2</v>
      </c>
      <c r="G36" s="32">
        <v>3555</v>
      </c>
      <c r="H36" s="29">
        <v>761</v>
      </c>
      <c r="I36" s="103">
        <v>21.4</v>
      </c>
      <c r="J36" s="29">
        <v>0.28999999999999998</v>
      </c>
      <c r="K36" s="32">
        <v>2493</v>
      </c>
      <c r="L36" s="29">
        <v>2031</v>
      </c>
      <c r="M36" s="33">
        <v>81.5</v>
      </c>
      <c r="N36" s="34">
        <v>0.312</v>
      </c>
      <c r="O36" s="24"/>
      <c r="P36" s="24"/>
      <c r="Q36" s="24"/>
      <c r="R36" s="24"/>
      <c r="S36" s="24"/>
      <c r="T36" s="24"/>
      <c r="U36" s="24"/>
    </row>
    <row r="37" spans="1:21" x14ac:dyDescent="0.35">
      <c r="A37" s="36">
        <v>4</v>
      </c>
      <c r="B37" s="37">
        <v>2021</v>
      </c>
      <c r="C37" s="38" t="s">
        <v>27</v>
      </c>
      <c r="D37" s="37">
        <v>5852</v>
      </c>
      <c r="E37" s="37">
        <v>2276</v>
      </c>
      <c r="F37" s="104">
        <v>38.9</v>
      </c>
      <c r="G37" s="40">
        <v>3582</v>
      </c>
      <c r="H37" s="37">
        <v>1197</v>
      </c>
      <c r="I37" s="33">
        <v>33.4</v>
      </c>
      <c r="J37" s="37">
        <v>0.31900000000000001</v>
      </c>
      <c r="K37" s="40">
        <v>2270</v>
      </c>
      <c r="L37" s="37">
        <v>1079</v>
      </c>
      <c r="M37" s="85">
        <v>47.5</v>
      </c>
      <c r="N37" s="41">
        <v>0.32300000000000001</v>
      </c>
      <c r="O37" s="24"/>
      <c r="P37" s="24"/>
      <c r="Q37" s="24"/>
      <c r="R37" s="24"/>
      <c r="S37" s="24"/>
      <c r="T37" s="24"/>
      <c r="U37" s="24"/>
    </row>
    <row r="38" spans="1:21" x14ac:dyDescent="0.35">
      <c r="A38" s="28">
        <v>5</v>
      </c>
      <c r="B38" s="29">
        <v>2021</v>
      </c>
      <c r="C38" s="30" t="s">
        <v>19</v>
      </c>
      <c r="D38" s="29">
        <v>6154</v>
      </c>
      <c r="E38" s="29">
        <v>2342</v>
      </c>
      <c r="F38" s="105">
        <v>38.1</v>
      </c>
      <c r="G38" s="32">
        <v>3804</v>
      </c>
      <c r="H38" s="29">
        <v>760</v>
      </c>
      <c r="I38" s="106">
        <v>20</v>
      </c>
      <c r="J38" s="29">
        <v>0.34599999999999997</v>
      </c>
      <c r="K38" s="32">
        <v>2350</v>
      </c>
      <c r="L38" s="29">
        <v>1582</v>
      </c>
      <c r="M38" s="33">
        <v>67.3</v>
      </c>
      <c r="N38" s="34">
        <v>0.316</v>
      </c>
      <c r="O38" s="24"/>
      <c r="P38" s="24"/>
      <c r="Q38" s="24"/>
      <c r="R38" s="24"/>
      <c r="S38" s="24"/>
      <c r="T38" s="24"/>
      <c r="U38" s="24"/>
    </row>
    <row r="39" spans="1:21" x14ac:dyDescent="0.35">
      <c r="A39" s="36">
        <v>6</v>
      </c>
      <c r="B39" s="37">
        <v>2021</v>
      </c>
      <c r="C39" s="38" t="s">
        <v>24</v>
      </c>
      <c r="D39" s="37">
        <v>6046</v>
      </c>
      <c r="E39" s="37">
        <v>2172</v>
      </c>
      <c r="F39" s="55">
        <v>35.9</v>
      </c>
      <c r="G39" s="40">
        <v>3733</v>
      </c>
      <c r="H39" s="37">
        <v>798</v>
      </c>
      <c r="I39" s="103">
        <v>21.4</v>
      </c>
      <c r="J39" s="37">
        <v>0.33900000000000002</v>
      </c>
      <c r="K39" s="40">
        <v>2313</v>
      </c>
      <c r="L39" s="37">
        <v>1374</v>
      </c>
      <c r="M39" s="107">
        <v>59.4</v>
      </c>
      <c r="N39" s="41">
        <v>0.309</v>
      </c>
      <c r="O39" s="24"/>
      <c r="P39" s="24"/>
      <c r="Q39" s="24"/>
      <c r="R39" s="24"/>
      <c r="S39" s="24"/>
      <c r="T39" s="24"/>
      <c r="U39" s="24"/>
    </row>
    <row r="40" spans="1:21" x14ac:dyDescent="0.35">
      <c r="A40" s="28">
        <v>7</v>
      </c>
      <c r="B40" s="29">
        <v>2021</v>
      </c>
      <c r="C40" s="30" t="s">
        <v>17</v>
      </c>
      <c r="D40" s="29">
        <v>6176</v>
      </c>
      <c r="E40" s="29">
        <v>2177</v>
      </c>
      <c r="F40" s="59">
        <v>35.200000000000003</v>
      </c>
      <c r="G40" s="32">
        <v>3347</v>
      </c>
      <c r="H40" s="29">
        <v>466</v>
      </c>
      <c r="I40" s="108">
        <v>13.9</v>
      </c>
      <c r="J40" s="29">
        <v>0.38100000000000001</v>
      </c>
      <c r="K40" s="32">
        <v>2829</v>
      </c>
      <c r="L40" s="29">
        <v>1711</v>
      </c>
      <c r="M40" s="33">
        <v>60.5</v>
      </c>
      <c r="N40" s="34">
        <v>0.36499999999999999</v>
      </c>
      <c r="O40" s="24"/>
      <c r="P40" s="24"/>
      <c r="Q40" s="24"/>
      <c r="R40" s="24"/>
      <c r="S40" s="24"/>
      <c r="T40" s="24"/>
      <c r="U40" s="24"/>
    </row>
    <row r="41" spans="1:21" x14ac:dyDescent="0.35">
      <c r="A41" s="36">
        <v>8</v>
      </c>
      <c r="B41" s="37">
        <v>2021</v>
      </c>
      <c r="C41" s="38" t="s">
        <v>15</v>
      </c>
      <c r="D41" s="37">
        <v>5982</v>
      </c>
      <c r="E41" s="37">
        <v>2105</v>
      </c>
      <c r="F41" s="59">
        <v>35.200000000000003</v>
      </c>
      <c r="G41" s="40">
        <v>3448</v>
      </c>
      <c r="H41" s="37">
        <v>1136</v>
      </c>
      <c r="I41" s="33">
        <v>32.9</v>
      </c>
      <c r="J41" s="37">
        <v>0.30399999999999999</v>
      </c>
      <c r="K41" s="40">
        <v>2534</v>
      </c>
      <c r="L41" s="37">
        <v>969</v>
      </c>
      <c r="M41" s="109">
        <v>38.200000000000003</v>
      </c>
      <c r="N41" s="41">
        <v>0.33200000000000002</v>
      </c>
      <c r="O41" s="24"/>
      <c r="P41" s="24"/>
      <c r="Q41" s="24"/>
      <c r="R41" s="24"/>
      <c r="S41" s="24"/>
      <c r="T41" s="24"/>
      <c r="U41" s="24"/>
    </row>
    <row r="42" spans="1:21" x14ac:dyDescent="0.35">
      <c r="A42" s="28">
        <v>9</v>
      </c>
      <c r="B42" s="29">
        <v>2021</v>
      </c>
      <c r="C42" s="30" t="s">
        <v>22</v>
      </c>
      <c r="D42" s="29">
        <v>6072</v>
      </c>
      <c r="E42" s="29">
        <v>2124</v>
      </c>
      <c r="F42" s="110">
        <v>35</v>
      </c>
      <c r="G42" s="32">
        <v>3735</v>
      </c>
      <c r="H42" s="29">
        <v>616</v>
      </c>
      <c r="I42" s="111">
        <v>16.5</v>
      </c>
      <c r="J42" s="29">
        <v>0.34</v>
      </c>
      <c r="K42" s="32">
        <v>2337</v>
      </c>
      <c r="L42" s="29">
        <v>1508</v>
      </c>
      <c r="M42" s="33">
        <v>64.5</v>
      </c>
      <c r="N42" s="34">
        <v>0.33100000000000002</v>
      </c>
      <c r="O42" s="24"/>
      <c r="P42" s="24"/>
      <c r="Q42" s="24"/>
      <c r="R42" s="24"/>
      <c r="S42" s="24"/>
      <c r="T42" s="24"/>
      <c r="U42" s="24"/>
    </row>
    <row r="43" spans="1:21" x14ac:dyDescent="0.35">
      <c r="A43" s="36">
        <v>10</v>
      </c>
      <c r="B43" s="37">
        <v>2021</v>
      </c>
      <c r="C43" s="38" t="s">
        <v>23</v>
      </c>
      <c r="D43" s="37">
        <v>5992</v>
      </c>
      <c r="E43" s="37">
        <v>2052</v>
      </c>
      <c r="F43" s="112">
        <v>34.200000000000003</v>
      </c>
      <c r="G43" s="40">
        <v>3503</v>
      </c>
      <c r="H43" s="37">
        <v>646</v>
      </c>
      <c r="I43" s="113">
        <v>18.399999999999999</v>
      </c>
      <c r="J43" s="37">
        <v>0.40200000000000002</v>
      </c>
      <c r="K43" s="40">
        <v>2489</v>
      </c>
      <c r="L43" s="37">
        <v>1406</v>
      </c>
      <c r="M43" s="114">
        <v>56.5</v>
      </c>
      <c r="N43" s="41">
        <v>0.317</v>
      </c>
      <c r="O43" s="24"/>
      <c r="P43" s="24"/>
      <c r="Q43" s="24"/>
      <c r="R43" s="24"/>
      <c r="S43" s="24"/>
      <c r="T43" s="24"/>
      <c r="U43" s="24"/>
    </row>
    <row r="44" spans="1:21" x14ac:dyDescent="0.35">
      <c r="A44" s="28">
        <v>11</v>
      </c>
      <c r="B44" s="29">
        <v>2021</v>
      </c>
      <c r="C44" s="30" t="s">
        <v>14</v>
      </c>
      <c r="D44" s="29">
        <v>6064</v>
      </c>
      <c r="E44" s="29">
        <v>2050</v>
      </c>
      <c r="F44" s="115">
        <v>33.799999999999997</v>
      </c>
      <c r="G44" s="32">
        <v>3667</v>
      </c>
      <c r="H44" s="29">
        <v>415</v>
      </c>
      <c r="I44" s="116">
        <v>11.3</v>
      </c>
      <c r="J44" s="29">
        <v>0.32200000000000001</v>
      </c>
      <c r="K44" s="32">
        <v>2397</v>
      </c>
      <c r="L44" s="29">
        <v>1635</v>
      </c>
      <c r="M44" s="33">
        <v>68.2</v>
      </c>
      <c r="N44" s="34">
        <v>0.35599999999999998</v>
      </c>
      <c r="O44" s="24"/>
      <c r="P44" s="24"/>
      <c r="Q44" s="24"/>
      <c r="R44" s="24"/>
      <c r="S44" s="24"/>
      <c r="T44" s="24"/>
      <c r="U44" s="24"/>
    </row>
    <row r="45" spans="1:21" x14ac:dyDescent="0.35">
      <c r="A45" s="36">
        <v>12</v>
      </c>
      <c r="B45" s="37">
        <v>2021</v>
      </c>
      <c r="C45" s="38" t="s">
        <v>26</v>
      </c>
      <c r="D45" s="37">
        <v>6109</v>
      </c>
      <c r="E45" s="37">
        <v>2049</v>
      </c>
      <c r="F45" s="117">
        <v>33.5</v>
      </c>
      <c r="G45" s="40">
        <v>3451</v>
      </c>
      <c r="H45" s="37">
        <v>330</v>
      </c>
      <c r="I45" s="118">
        <v>9.6</v>
      </c>
      <c r="J45" s="37">
        <v>0.438</v>
      </c>
      <c r="K45" s="40">
        <v>2658</v>
      </c>
      <c r="L45" s="37">
        <v>1719</v>
      </c>
      <c r="M45" s="33">
        <v>64.7</v>
      </c>
      <c r="N45" s="41">
        <v>0.36299999999999999</v>
      </c>
      <c r="O45" s="24"/>
      <c r="P45" s="24"/>
      <c r="Q45" s="24"/>
      <c r="R45" s="24"/>
      <c r="S45" s="24"/>
      <c r="T45" s="24"/>
      <c r="U45" s="24"/>
    </row>
    <row r="46" spans="1:21" x14ac:dyDescent="0.35">
      <c r="A46" s="28">
        <v>13</v>
      </c>
      <c r="B46" s="29">
        <v>2021</v>
      </c>
      <c r="C46" s="30" t="s">
        <v>21</v>
      </c>
      <c r="D46" s="29">
        <v>6073</v>
      </c>
      <c r="E46" s="29">
        <v>1984</v>
      </c>
      <c r="F46" s="119">
        <v>32.700000000000003</v>
      </c>
      <c r="G46" s="32">
        <v>3932</v>
      </c>
      <c r="H46" s="29">
        <v>555</v>
      </c>
      <c r="I46" s="95">
        <v>14.1</v>
      </c>
      <c r="J46" s="29">
        <v>0.4</v>
      </c>
      <c r="K46" s="32">
        <v>2141</v>
      </c>
      <c r="L46" s="29">
        <v>1429</v>
      </c>
      <c r="M46" s="33">
        <v>66.7</v>
      </c>
      <c r="N46" s="34">
        <v>0.29499999999999998</v>
      </c>
      <c r="O46" s="24"/>
      <c r="P46" s="24"/>
      <c r="Q46" s="24"/>
      <c r="R46" s="24"/>
      <c r="S46" s="24"/>
      <c r="T46" s="24"/>
      <c r="U46" s="24"/>
    </row>
    <row r="47" spans="1:21" x14ac:dyDescent="0.35">
      <c r="A47" s="36">
        <v>14</v>
      </c>
      <c r="B47" s="37">
        <v>2021</v>
      </c>
      <c r="C47" s="38" t="s">
        <v>29</v>
      </c>
      <c r="D47" s="37">
        <v>6223</v>
      </c>
      <c r="E47" s="37">
        <v>1974</v>
      </c>
      <c r="F47" s="66">
        <v>31.7</v>
      </c>
      <c r="G47" s="40">
        <v>3682</v>
      </c>
      <c r="H47" s="37">
        <v>832</v>
      </c>
      <c r="I47" s="120">
        <v>22.6</v>
      </c>
      <c r="J47" s="37">
        <v>0.375</v>
      </c>
      <c r="K47" s="40">
        <v>2541</v>
      </c>
      <c r="L47" s="37">
        <v>1142</v>
      </c>
      <c r="M47" s="121">
        <v>44.9</v>
      </c>
      <c r="N47" s="41">
        <v>0.34100000000000003</v>
      </c>
      <c r="O47" s="24"/>
      <c r="P47" s="24"/>
      <c r="Q47" s="24"/>
      <c r="R47" s="24"/>
      <c r="S47" s="24"/>
      <c r="T47" s="24"/>
      <c r="U47" s="24"/>
    </row>
    <row r="48" spans="1:21" x14ac:dyDescent="0.35">
      <c r="A48" s="28">
        <v>15</v>
      </c>
      <c r="B48" s="29">
        <v>2021</v>
      </c>
      <c r="C48" s="30" t="s">
        <v>13</v>
      </c>
      <c r="D48" s="29">
        <v>6083</v>
      </c>
      <c r="E48" s="29">
        <v>1877</v>
      </c>
      <c r="F48" s="122">
        <v>30.9</v>
      </c>
      <c r="G48" s="32">
        <v>3877</v>
      </c>
      <c r="H48" s="29">
        <v>683</v>
      </c>
      <c r="I48" s="112">
        <v>17.600000000000001</v>
      </c>
      <c r="J48" s="29">
        <v>0.33100000000000002</v>
      </c>
      <c r="K48" s="32">
        <v>2206</v>
      </c>
      <c r="L48" s="29">
        <v>1194</v>
      </c>
      <c r="M48" s="123">
        <v>54.1</v>
      </c>
      <c r="N48" s="34">
        <v>0.32100000000000001</v>
      </c>
      <c r="O48" s="24"/>
      <c r="P48" s="24"/>
      <c r="Q48" s="24"/>
      <c r="R48" s="24"/>
      <c r="S48" s="24"/>
      <c r="T48" s="24"/>
      <c r="U48" s="24"/>
    </row>
    <row r="49" spans="1:21" x14ac:dyDescent="0.35">
      <c r="A49" s="36">
        <v>16</v>
      </c>
      <c r="B49" s="37">
        <v>2021</v>
      </c>
      <c r="C49" s="38" t="s">
        <v>32</v>
      </c>
      <c r="D49" s="37">
        <v>5880</v>
      </c>
      <c r="E49" s="37">
        <v>1813</v>
      </c>
      <c r="F49" s="124">
        <v>30.8</v>
      </c>
      <c r="G49" s="40">
        <v>3979</v>
      </c>
      <c r="H49" s="37">
        <v>964</v>
      </c>
      <c r="I49" s="125">
        <v>24.2</v>
      </c>
      <c r="J49" s="37">
        <v>0.32</v>
      </c>
      <c r="K49" s="40">
        <v>1901</v>
      </c>
      <c r="L49" s="37">
        <v>849</v>
      </c>
      <c r="M49" s="126">
        <v>44.7</v>
      </c>
      <c r="N49" s="41">
        <v>0.29299999999999998</v>
      </c>
      <c r="O49" s="24"/>
      <c r="P49" s="24"/>
      <c r="Q49" s="24"/>
      <c r="R49" s="24"/>
      <c r="S49" s="24"/>
      <c r="T49" s="24"/>
      <c r="U49" s="24"/>
    </row>
    <row r="50" spans="1:21" x14ac:dyDescent="0.35">
      <c r="A50" s="28">
        <v>17</v>
      </c>
      <c r="B50" s="29">
        <v>2021</v>
      </c>
      <c r="C50" s="30" t="s">
        <v>20</v>
      </c>
      <c r="D50" s="29">
        <v>6092</v>
      </c>
      <c r="E50" s="29">
        <v>1843</v>
      </c>
      <c r="F50" s="127">
        <v>30.3</v>
      </c>
      <c r="G50" s="32">
        <v>3714</v>
      </c>
      <c r="H50" s="29">
        <v>331</v>
      </c>
      <c r="I50" s="128">
        <v>8.9</v>
      </c>
      <c r="J50" s="29">
        <v>0.33700000000000002</v>
      </c>
      <c r="K50" s="32">
        <v>2378</v>
      </c>
      <c r="L50" s="29">
        <v>1512</v>
      </c>
      <c r="M50" s="33">
        <v>63.6</v>
      </c>
      <c r="N50" s="34">
        <v>0.33100000000000002</v>
      </c>
      <c r="O50" s="24"/>
      <c r="P50" s="24"/>
      <c r="Q50" s="24"/>
      <c r="R50" s="24"/>
      <c r="S50" s="24"/>
      <c r="T50" s="24"/>
      <c r="U50" s="24"/>
    </row>
    <row r="51" spans="1:21" x14ac:dyDescent="0.35">
      <c r="A51" s="36">
        <v>18</v>
      </c>
      <c r="B51" s="37">
        <v>2021</v>
      </c>
      <c r="C51" s="38" t="s">
        <v>35</v>
      </c>
      <c r="D51" s="37">
        <v>5895</v>
      </c>
      <c r="E51" s="37">
        <v>1612</v>
      </c>
      <c r="F51" s="80">
        <v>27.3</v>
      </c>
      <c r="G51" s="40">
        <v>3810</v>
      </c>
      <c r="H51" s="37">
        <v>436</v>
      </c>
      <c r="I51" s="129">
        <v>11.4</v>
      </c>
      <c r="J51" s="37">
        <v>0.379</v>
      </c>
      <c r="K51" s="40">
        <v>2085</v>
      </c>
      <c r="L51" s="37">
        <v>1176</v>
      </c>
      <c r="M51" s="130">
        <v>56.4</v>
      </c>
      <c r="N51" s="41">
        <v>0.28199999999999997</v>
      </c>
      <c r="O51" s="24"/>
      <c r="P51" s="24"/>
      <c r="Q51" s="24"/>
      <c r="R51" s="24"/>
      <c r="S51" s="24"/>
      <c r="T51" s="24"/>
      <c r="U51" s="24"/>
    </row>
    <row r="52" spans="1:21" x14ac:dyDescent="0.35">
      <c r="A52" s="28">
        <v>19</v>
      </c>
      <c r="B52" s="29">
        <v>2021</v>
      </c>
      <c r="C52" s="30" t="s">
        <v>34</v>
      </c>
      <c r="D52" s="29">
        <v>6110</v>
      </c>
      <c r="E52" s="29">
        <v>1654</v>
      </c>
      <c r="F52" s="131">
        <v>27.1</v>
      </c>
      <c r="G52" s="32">
        <v>3862</v>
      </c>
      <c r="H52" s="29">
        <v>616</v>
      </c>
      <c r="I52" s="132">
        <v>16</v>
      </c>
      <c r="J52" s="29">
        <v>0.34599999999999997</v>
      </c>
      <c r="K52" s="32">
        <v>2248</v>
      </c>
      <c r="L52" s="29">
        <v>1038</v>
      </c>
      <c r="M52" s="102">
        <v>46.2</v>
      </c>
      <c r="N52" s="34">
        <v>0.34499999999999997</v>
      </c>
      <c r="O52" s="24"/>
      <c r="P52" s="24"/>
      <c r="Q52" s="24"/>
      <c r="R52" s="24"/>
      <c r="S52" s="24"/>
      <c r="T52" s="24"/>
      <c r="U52" s="24"/>
    </row>
    <row r="53" spans="1:21" x14ac:dyDescent="0.35">
      <c r="A53" s="36">
        <v>20</v>
      </c>
      <c r="B53" s="37">
        <v>2021</v>
      </c>
      <c r="C53" s="38" t="s">
        <v>37</v>
      </c>
      <c r="D53" s="37">
        <v>6232</v>
      </c>
      <c r="E53" s="37">
        <v>1604</v>
      </c>
      <c r="F53" s="133">
        <v>25.7</v>
      </c>
      <c r="G53" s="40">
        <v>4013</v>
      </c>
      <c r="H53" s="37">
        <v>378</v>
      </c>
      <c r="I53" s="134">
        <v>9.4</v>
      </c>
      <c r="J53" s="37">
        <v>0.32300000000000001</v>
      </c>
      <c r="K53" s="40">
        <v>2219</v>
      </c>
      <c r="L53" s="37">
        <v>1226</v>
      </c>
      <c r="M53" s="135">
        <v>55.3</v>
      </c>
      <c r="N53" s="41">
        <v>0.33200000000000002</v>
      </c>
      <c r="O53" s="24"/>
      <c r="P53" s="24"/>
      <c r="Q53" s="24"/>
      <c r="R53" s="24"/>
      <c r="S53" s="24"/>
      <c r="T53" s="24"/>
      <c r="U53" s="24"/>
    </row>
    <row r="54" spans="1:21" x14ac:dyDescent="0.35">
      <c r="A54" s="28">
        <v>21</v>
      </c>
      <c r="B54" s="29">
        <v>2021</v>
      </c>
      <c r="C54" s="30" t="s">
        <v>28</v>
      </c>
      <c r="D54" s="29">
        <v>6169</v>
      </c>
      <c r="E54" s="29">
        <v>1584</v>
      </c>
      <c r="F54" s="133">
        <v>25.7</v>
      </c>
      <c r="G54" s="32">
        <v>3458</v>
      </c>
      <c r="H54" s="29">
        <v>260</v>
      </c>
      <c r="I54" s="136">
        <v>7.5</v>
      </c>
      <c r="J54" s="29">
        <v>0.42</v>
      </c>
      <c r="K54" s="32">
        <v>2711</v>
      </c>
      <c r="L54" s="29">
        <v>1324</v>
      </c>
      <c r="M54" s="137">
        <v>48.8</v>
      </c>
      <c r="N54" s="34">
        <v>0.315</v>
      </c>
      <c r="O54" s="24"/>
      <c r="P54" s="24"/>
      <c r="Q54" s="24"/>
      <c r="R54" s="24"/>
      <c r="S54" s="24"/>
      <c r="T54" s="24"/>
      <c r="U54" s="24"/>
    </row>
    <row r="55" spans="1:21" x14ac:dyDescent="0.35">
      <c r="A55" s="36">
        <v>22</v>
      </c>
      <c r="B55" s="37">
        <v>2021</v>
      </c>
      <c r="C55" s="38" t="s">
        <v>36</v>
      </c>
      <c r="D55" s="37">
        <v>6019</v>
      </c>
      <c r="E55" s="37">
        <v>1533</v>
      </c>
      <c r="F55" s="138">
        <v>25.5</v>
      </c>
      <c r="G55" s="40">
        <v>3450</v>
      </c>
      <c r="H55" s="37">
        <v>140</v>
      </c>
      <c r="I55" s="139">
        <v>4.0999999999999996</v>
      </c>
      <c r="J55" s="37">
        <v>0.34399999999999997</v>
      </c>
      <c r="K55" s="40">
        <v>2569</v>
      </c>
      <c r="L55" s="37">
        <v>1393</v>
      </c>
      <c r="M55" s="140">
        <v>54.2</v>
      </c>
      <c r="N55" s="41">
        <v>0.29799999999999999</v>
      </c>
      <c r="O55" s="24"/>
      <c r="P55" s="24"/>
      <c r="Q55" s="24"/>
      <c r="R55" s="24"/>
      <c r="S55" s="24"/>
      <c r="T55" s="24"/>
      <c r="U55" s="24"/>
    </row>
    <row r="56" spans="1:21" x14ac:dyDescent="0.35">
      <c r="A56" s="28">
        <v>23</v>
      </c>
      <c r="B56" s="29">
        <v>2021</v>
      </c>
      <c r="C56" s="30" t="s">
        <v>25</v>
      </c>
      <c r="D56" s="29">
        <v>5981</v>
      </c>
      <c r="E56" s="29">
        <v>1503</v>
      </c>
      <c r="F56" s="141">
        <v>25.1</v>
      </c>
      <c r="G56" s="32">
        <v>3390</v>
      </c>
      <c r="H56" s="29">
        <v>197</v>
      </c>
      <c r="I56" s="142">
        <v>5.8</v>
      </c>
      <c r="J56" s="29">
        <v>0.28199999999999997</v>
      </c>
      <c r="K56" s="32">
        <v>2591</v>
      </c>
      <c r="L56" s="29">
        <v>1306</v>
      </c>
      <c r="M56" s="39">
        <v>50.4</v>
      </c>
      <c r="N56" s="34">
        <v>0.28399999999999997</v>
      </c>
      <c r="O56" s="24"/>
      <c r="P56" s="24"/>
      <c r="Q56" s="24"/>
      <c r="R56" s="24"/>
      <c r="S56" s="24"/>
      <c r="T56" s="24"/>
      <c r="U56" s="24"/>
    </row>
    <row r="57" spans="1:21" x14ac:dyDescent="0.35">
      <c r="A57" s="36">
        <v>24</v>
      </c>
      <c r="B57" s="37">
        <v>2021</v>
      </c>
      <c r="C57" s="38" t="s">
        <v>12</v>
      </c>
      <c r="D57" s="37">
        <v>5567</v>
      </c>
      <c r="E57" s="37">
        <v>1391</v>
      </c>
      <c r="F57" s="58">
        <v>25</v>
      </c>
      <c r="G57" s="40">
        <v>3774</v>
      </c>
      <c r="H57" s="37">
        <v>427</v>
      </c>
      <c r="I57" s="116">
        <v>11.3</v>
      </c>
      <c r="J57" s="37">
        <v>0.313</v>
      </c>
      <c r="K57" s="40">
        <v>1793</v>
      </c>
      <c r="L57" s="37">
        <v>964</v>
      </c>
      <c r="M57" s="143">
        <v>53.8</v>
      </c>
      <c r="N57" s="41">
        <v>0.30099999999999999</v>
      </c>
      <c r="O57" s="24"/>
      <c r="P57" s="24"/>
      <c r="Q57" s="24"/>
      <c r="R57" s="24"/>
      <c r="S57" s="24"/>
      <c r="T57" s="24"/>
      <c r="U57" s="24"/>
    </row>
    <row r="58" spans="1:21" x14ac:dyDescent="0.35">
      <c r="A58" s="28">
        <v>25</v>
      </c>
      <c r="B58" s="29">
        <v>2021</v>
      </c>
      <c r="C58" s="30" t="s">
        <v>38</v>
      </c>
      <c r="D58" s="29">
        <v>5923</v>
      </c>
      <c r="E58" s="29">
        <v>1354</v>
      </c>
      <c r="F58" s="144">
        <v>22.9</v>
      </c>
      <c r="G58" s="32">
        <v>3254</v>
      </c>
      <c r="H58" s="29">
        <v>224</v>
      </c>
      <c r="I58" s="145">
        <v>6.9</v>
      </c>
      <c r="J58" s="29">
        <v>0.372</v>
      </c>
      <c r="K58" s="32">
        <v>2669</v>
      </c>
      <c r="L58" s="29">
        <v>1130</v>
      </c>
      <c r="M58" s="146">
        <v>42.3</v>
      </c>
      <c r="N58" s="34">
        <v>0.30299999999999999</v>
      </c>
      <c r="O58" s="24"/>
      <c r="P58" s="24"/>
      <c r="Q58" s="24"/>
      <c r="R58" s="24"/>
      <c r="S58" s="24"/>
      <c r="T58" s="24"/>
      <c r="U58" s="24"/>
    </row>
    <row r="59" spans="1:21" x14ac:dyDescent="0.35">
      <c r="A59" s="36">
        <v>26</v>
      </c>
      <c r="B59" s="37">
        <v>2021</v>
      </c>
      <c r="C59" s="38" t="s">
        <v>30</v>
      </c>
      <c r="D59" s="37">
        <v>6013</v>
      </c>
      <c r="E59" s="37">
        <v>1288</v>
      </c>
      <c r="F59" s="147">
        <v>21.4</v>
      </c>
      <c r="G59" s="40">
        <v>3424</v>
      </c>
      <c r="H59" s="37">
        <v>395</v>
      </c>
      <c r="I59" s="148">
        <v>11.5</v>
      </c>
      <c r="J59" s="37">
        <v>0.36599999999999999</v>
      </c>
      <c r="K59" s="40">
        <v>2589</v>
      </c>
      <c r="L59" s="37">
        <v>893</v>
      </c>
      <c r="M59" s="149">
        <v>34.5</v>
      </c>
      <c r="N59" s="41">
        <v>0.318</v>
      </c>
      <c r="O59" s="24"/>
      <c r="P59" s="24"/>
      <c r="Q59" s="24"/>
      <c r="R59" s="24"/>
      <c r="S59" s="24"/>
      <c r="T59" s="24"/>
      <c r="U59" s="24"/>
    </row>
    <row r="60" spans="1:21" x14ac:dyDescent="0.35">
      <c r="A60" s="28">
        <v>27</v>
      </c>
      <c r="B60" s="29">
        <v>2021</v>
      </c>
      <c r="C60" s="30" t="s">
        <v>16</v>
      </c>
      <c r="D60" s="29">
        <v>5803</v>
      </c>
      <c r="E60" s="29">
        <v>1180</v>
      </c>
      <c r="F60" s="150">
        <v>20.3</v>
      </c>
      <c r="G60" s="32">
        <v>3505</v>
      </c>
      <c r="H60" s="29">
        <v>202</v>
      </c>
      <c r="I60" s="142">
        <v>5.8</v>
      </c>
      <c r="J60" s="29">
        <v>0.40400000000000003</v>
      </c>
      <c r="K60" s="32">
        <v>2298</v>
      </c>
      <c r="L60" s="29">
        <v>978</v>
      </c>
      <c r="M60" s="151">
        <v>42.6</v>
      </c>
      <c r="N60" s="34">
        <v>0.308</v>
      </c>
      <c r="O60" s="24"/>
      <c r="P60" s="24"/>
      <c r="Q60" s="24"/>
      <c r="R60" s="24"/>
      <c r="S60" s="24"/>
      <c r="T60" s="24"/>
      <c r="U60" s="24"/>
    </row>
    <row r="61" spans="1:21" x14ac:dyDescent="0.35">
      <c r="A61" s="36">
        <v>28</v>
      </c>
      <c r="B61" s="37">
        <v>2021</v>
      </c>
      <c r="C61" s="38" t="s">
        <v>39</v>
      </c>
      <c r="D61" s="37">
        <v>6024</v>
      </c>
      <c r="E61" s="37">
        <v>1135</v>
      </c>
      <c r="F61" s="152">
        <v>18.8</v>
      </c>
      <c r="G61" s="40">
        <v>3170</v>
      </c>
      <c r="H61" s="37">
        <v>220</v>
      </c>
      <c r="I61" s="145">
        <v>6.9</v>
      </c>
      <c r="J61" s="37">
        <v>0.36899999999999999</v>
      </c>
      <c r="K61" s="40">
        <v>2854</v>
      </c>
      <c r="L61" s="37">
        <v>915</v>
      </c>
      <c r="M61" s="153">
        <v>32.1</v>
      </c>
      <c r="N61" s="41">
        <v>0.34</v>
      </c>
      <c r="O61" s="24"/>
      <c r="P61" s="24"/>
      <c r="Q61" s="24"/>
      <c r="R61" s="24"/>
      <c r="S61" s="24"/>
      <c r="T61" s="24"/>
      <c r="U61" s="24"/>
    </row>
    <row r="62" spans="1:21" x14ac:dyDescent="0.35">
      <c r="A62" s="28">
        <v>29</v>
      </c>
      <c r="B62" s="29">
        <v>2021</v>
      </c>
      <c r="C62" s="30" t="s">
        <v>33</v>
      </c>
      <c r="D62" s="29">
        <v>5970</v>
      </c>
      <c r="E62" s="29">
        <v>1044</v>
      </c>
      <c r="F62" s="154">
        <v>17.5</v>
      </c>
      <c r="G62" s="32">
        <v>3537</v>
      </c>
      <c r="H62" s="29">
        <v>211</v>
      </c>
      <c r="I62" s="155">
        <v>6</v>
      </c>
      <c r="J62" s="29">
        <v>0.35299999999999998</v>
      </c>
      <c r="K62" s="32">
        <v>2433</v>
      </c>
      <c r="L62" s="29">
        <v>833</v>
      </c>
      <c r="M62" s="112">
        <v>34.200000000000003</v>
      </c>
      <c r="N62" s="34">
        <v>0.27200000000000002</v>
      </c>
      <c r="O62" s="24"/>
      <c r="P62" s="24"/>
      <c r="Q62" s="24"/>
      <c r="R62" s="24"/>
      <c r="S62" s="24"/>
      <c r="T62" s="24"/>
      <c r="U62" s="24"/>
    </row>
    <row r="63" spans="1:21" x14ac:dyDescent="0.35">
      <c r="A63" s="36">
        <v>30</v>
      </c>
      <c r="B63" s="37">
        <v>2021</v>
      </c>
      <c r="C63" s="38" t="s">
        <v>31</v>
      </c>
      <c r="D63" s="37">
        <v>5982</v>
      </c>
      <c r="E63" s="37">
        <v>1027</v>
      </c>
      <c r="F63" s="156">
        <v>17.2</v>
      </c>
      <c r="G63" s="40">
        <v>3250</v>
      </c>
      <c r="H63" s="37">
        <v>327</v>
      </c>
      <c r="I63" s="74">
        <v>10.1</v>
      </c>
      <c r="J63" s="37">
        <v>0.38200000000000001</v>
      </c>
      <c r="K63" s="40">
        <v>2732</v>
      </c>
      <c r="L63" s="37">
        <v>700</v>
      </c>
      <c r="M63" s="133">
        <v>25.6</v>
      </c>
      <c r="N63" s="41">
        <v>0.307</v>
      </c>
      <c r="O63" s="24"/>
      <c r="P63" s="24"/>
      <c r="Q63" s="24"/>
      <c r="R63" s="24"/>
      <c r="S63" s="24"/>
      <c r="T63" s="24"/>
      <c r="U63" s="24"/>
    </row>
    <row r="64" spans="1:21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x14ac:dyDescent="0.35">
      <c r="A65" s="28">
        <v>1</v>
      </c>
      <c r="B65" s="29">
        <v>2020</v>
      </c>
      <c r="C65" s="30" t="s">
        <v>10</v>
      </c>
      <c r="D65" s="29">
        <v>2168</v>
      </c>
      <c r="E65" s="29">
        <v>1210</v>
      </c>
      <c r="F65" s="68">
        <v>55.8</v>
      </c>
      <c r="G65" s="32">
        <v>1293</v>
      </c>
      <c r="H65" s="29">
        <v>536</v>
      </c>
      <c r="I65" s="33">
        <v>41.5</v>
      </c>
      <c r="J65" s="29">
        <v>0.30599999999999999</v>
      </c>
      <c r="K65" s="32">
        <v>875</v>
      </c>
      <c r="L65" s="29">
        <v>674</v>
      </c>
      <c r="M65" s="33">
        <v>77</v>
      </c>
      <c r="N65" s="34">
        <v>0.25900000000000001</v>
      </c>
      <c r="O65" s="24"/>
      <c r="P65" s="24"/>
      <c r="Q65" s="24"/>
      <c r="R65" s="24"/>
      <c r="S65" s="24"/>
      <c r="T65" s="24"/>
      <c r="U65" s="24"/>
    </row>
    <row r="66" spans="1:21" x14ac:dyDescent="0.35">
      <c r="A66" s="36">
        <v>2</v>
      </c>
      <c r="B66" s="37">
        <v>2020</v>
      </c>
      <c r="C66" s="38" t="s">
        <v>19</v>
      </c>
      <c r="D66" s="37">
        <v>2172</v>
      </c>
      <c r="E66" s="37">
        <v>1096</v>
      </c>
      <c r="F66" s="157">
        <v>50.5</v>
      </c>
      <c r="G66" s="40">
        <v>1321</v>
      </c>
      <c r="H66" s="37">
        <v>466</v>
      </c>
      <c r="I66" s="33">
        <v>35.299999999999997</v>
      </c>
      <c r="J66" s="37">
        <v>0.38600000000000001</v>
      </c>
      <c r="K66" s="40">
        <v>851</v>
      </c>
      <c r="L66" s="37">
        <v>630</v>
      </c>
      <c r="M66" s="33">
        <v>74</v>
      </c>
      <c r="N66" s="41">
        <v>0.32</v>
      </c>
      <c r="O66" s="24"/>
      <c r="P66" s="24"/>
      <c r="Q66" s="24"/>
      <c r="R66" s="24"/>
      <c r="S66" s="24"/>
      <c r="T66" s="24"/>
      <c r="U66" s="24"/>
    </row>
    <row r="67" spans="1:21" x14ac:dyDescent="0.35">
      <c r="A67" s="28">
        <v>3</v>
      </c>
      <c r="B67" s="29">
        <v>2020</v>
      </c>
      <c r="C67" s="30" t="s">
        <v>26</v>
      </c>
      <c r="D67" s="29">
        <v>2221</v>
      </c>
      <c r="E67" s="29">
        <v>1027</v>
      </c>
      <c r="F67" s="102">
        <v>46.2</v>
      </c>
      <c r="G67" s="32">
        <v>1241</v>
      </c>
      <c r="H67" s="29">
        <v>498</v>
      </c>
      <c r="I67" s="33">
        <v>40.1</v>
      </c>
      <c r="J67" s="29">
        <v>0.32500000000000001</v>
      </c>
      <c r="K67" s="32">
        <v>980</v>
      </c>
      <c r="L67" s="29">
        <v>529</v>
      </c>
      <c r="M67" s="158">
        <v>54</v>
      </c>
      <c r="N67" s="34">
        <v>0.34</v>
      </c>
      <c r="O67" s="24"/>
      <c r="P67" s="24"/>
      <c r="Q67" s="24"/>
      <c r="R67" s="24"/>
      <c r="S67" s="24"/>
      <c r="T67" s="24"/>
      <c r="U67" s="24"/>
    </row>
    <row r="68" spans="1:21" x14ac:dyDescent="0.35">
      <c r="A68" s="36">
        <v>4</v>
      </c>
      <c r="B68" s="37">
        <v>2020</v>
      </c>
      <c r="C68" s="38" t="s">
        <v>33</v>
      </c>
      <c r="D68" s="37">
        <v>2183</v>
      </c>
      <c r="E68" s="37">
        <v>969</v>
      </c>
      <c r="F68" s="159">
        <v>44.4</v>
      </c>
      <c r="G68" s="40">
        <v>1114</v>
      </c>
      <c r="H68" s="37">
        <v>269</v>
      </c>
      <c r="I68" s="160">
        <v>24.1</v>
      </c>
      <c r="J68" s="37">
        <v>0.34100000000000003</v>
      </c>
      <c r="K68" s="40">
        <v>1069</v>
      </c>
      <c r="L68" s="37">
        <v>700</v>
      </c>
      <c r="M68" s="33">
        <v>65.5</v>
      </c>
      <c r="N68" s="41">
        <v>0.32200000000000001</v>
      </c>
      <c r="O68" s="24"/>
      <c r="P68" s="24"/>
      <c r="Q68" s="24"/>
      <c r="R68" s="24"/>
      <c r="S68" s="24"/>
      <c r="T68" s="24"/>
      <c r="U68" s="24"/>
    </row>
    <row r="69" spans="1:21" x14ac:dyDescent="0.35">
      <c r="A69" s="28">
        <v>5</v>
      </c>
      <c r="B69" s="29">
        <v>2020</v>
      </c>
      <c r="C69" s="30" t="s">
        <v>11</v>
      </c>
      <c r="D69" s="29">
        <v>2230</v>
      </c>
      <c r="E69" s="29">
        <v>984</v>
      </c>
      <c r="F69" s="161">
        <v>44.1</v>
      </c>
      <c r="G69" s="32">
        <v>1150</v>
      </c>
      <c r="H69" s="29">
        <v>272</v>
      </c>
      <c r="I69" s="46">
        <v>23.7</v>
      </c>
      <c r="J69" s="29">
        <v>0.372</v>
      </c>
      <c r="K69" s="32">
        <v>1080</v>
      </c>
      <c r="L69" s="29">
        <v>712</v>
      </c>
      <c r="M69" s="33">
        <v>65.900000000000006</v>
      </c>
      <c r="N69" s="34">
        <v>0.28899999999999998</v>
      </c>
      <c r="O69" s="24"/>
      <c r="P69" s="24"/>
      <c r="Q69" s="24"/>
      <c r="R69" s="24"/>
      <c r="S69" s="24"/>
      <c r="T69" s="24"/>
      <c r="U69" s="24"/>
    </row>
    <row r="70" spans="1:21" x14ac:dyDescent="0.35">
      <c r="A70" s="36">
        <v>6</v>
      </c>
      <c r="B70" s="37">
        <v>2020</v>
      </c>
      <c r="C70" s="38" t="s">
        <v>23</v>
      </c>
      <c r="D70" s="37">
        <v>2249</v>
      </c>
      <c r="E70" s="37">
        <v>958</v>
      </c>
      <c r="F70" s="151">
        <v>42.6</v>
      </c>
      <c r="G70" s="40">
        <v>1318</v>
      </c>
      <c r="H70" s="37">
        <v>354</v>
      </c>
      <c r="I70" s="33">
        <v>26.9</v>
      </c>
      <c r="J70" s="37">
        <v>0.38600000000000001</v>
      </c>
      <c r="K70" s="40">
        <v>931</v>
      </c>
      <c r="L70" s="37">
        <v>604</v>
      </c>
      <c r="M70" s="33">
        <v>64.900000000000006</v>
      </c>
      <c r="N70" s="41">
        <v>0.33100000000000002</v>
      </c>
      <c r="O70" s="24"/>
      <c r="P70" s="24"/>
      <c r="Q70" s="24"/>
      <c r="R70" s="24"/>
      <c r="S70" s="24"/>
      <c r="T70" s="24"/>
      <c r="U70" s="24"/>
    </row>
    <row r="71" spans="1:21" x14ac:dyDescent="0.35">
      <c r="A71" s="28">
        <v>7</v>
      </c>
      <c r="B71" s="29">
        <v>2020</v>
      </c>
      <c r="C71" s="30" t="s">
        <v>14</v>
      </c>
      <c r="D71" s="29">
        <v>2129</v>
      </c>
      <c r="E71" s="29">
        <v>880</v>
      </c>
      <c r="F71" s="162">
        <v>41.3</v>
      </c>
      <c r="G71" s="32">
        <v>1243</v>
      </c>
      <c r="H71" s="29">
        <v>393</v>
      </c>
      <c r="I71" s="33">
        <v>31.6</v>
      </c>
      <c r="J71" s="29">
        <v>0.3</v>
      </c>
      <c r="K71" s="32">
        <v>886</v>
      </c>
      <c r="L71" s="29">
        <v>487</v>
      </c>
      <c r="M71" s="163">
        <v>55</v>
      </c>
      <c r="N71" s="34">
        <v>0.29099999999999998</v>
      </c>
      <c r="O71" s="24"/>
      <c r="P71" s="24"/>
      <c r="Q71" s="24"/>
      <c r="R71" s="24"/>
      <c r="S71" s="24"/>
      <c r="T71" s="24"/>
      <c r="U71" s="24"/>
    </row>
    <row r="72" spans="1:21" x14ac:dyDescent="0.35">
      <c r="A72" s="36">
        <v>8</v>
      </c>
      <c r="B72" s="37">
        <v>2020</v>
      </c>
      <c r="C72" s="38" t="s">
        <v>28</v>
      </c>
      <c r="D72" s="37">
        <v>2115</v>
      </c>
      <c r="E72" s="37">
        <v>861</v>
      </c>
      <c r="F72" s="164">
        <v>40.700000000000003</v>
      </c>
      <c r="G72" s="40">
        <v>1053</v>
      </c>
      <c r="H72" s="37">
        <v>94</v>
      </c>
      <c r="I72" s="128">
        <v>8.9</v>
      </c>
      <c r="J72" s="37">
        <v>0.4</v>
      </c>
      <c r="K72" s="40">
        <v>1062</v>
      </c>
      <c r="L72" s="37">
        <v>767</v>
      </c>
      <c r="M72" s="33">
        <v>72.2</v>
      </c>
      <c r="N72" s="41">
        <v>0.312</v>
      </c>
      <c r="O72" s="24"/>
      <c r="P72" s="24"/>
      <c r="Q72" s="24"/>
      <c r="R72" s="24"/>
      <c r="S72" s="24"/>
      <c r="T72" s="24"/>
      <c r="U72" s="24"/>
    </row>
    <row r="73" spans="1:21" x14ac:dyDescent="0.35">
      <c r="A73" s="28">
        <v>9</v>
      </c>
      <c r="B73" s="29">
        <v>2020</v>
      </c>
      <c r="C73" s="30" t="s">
        <v>15</v>
      </c>
      <c r="D73" s="29">
        <v>2194</v>
      </c>
      <c r="E73" s="29">
        <v>883</v>
      </c>
      <c r="F73" s="165">
        <v>40.200000000000003</v>
      </c>
      <c r="G73" s="32">
        <v>1264</v>
      </c>
      <c r="H73" s="29">
        <v>530</v>
      </c>
      <c r="I73" s="33">
        <v>41.9</v>
      </c>
      <c r="J73" s="29">
        <v>0.36399999999999999</v>
      </c>
      <c r="K73" s="32">
        <v>930</v>
      </c>
      <c r="L73" s="29">
        <v>353</v>
      </c>
      <c r="M73" s="49">
        <v>38</v>
      </c>
      <c r="N73" s="34">
        <v>0.36599999999999999</v>
      </c>
      <c r="O73" s="24"/>
      <c r="P73" s="24"/>
      <c r="Q73" s="24"/>
      <c r="R73" s="24"/>
      <c r="S73" s="24"/>
      <c r="T73" s="24"/>
      <c r="U73" s="24"/>
    </row>
    <row r="74" spans="1:21" x14ac:dyDescent="0.35">
      <c r="A74" s="36">
        <v>10</v>
      </c>
      <c r="B74" s="37">
        <v>2020</v>
      </c>
      <c r="C74" s="38" t="s">
        <v>34</v>
      </c>
      <c r="D74" s="37">
        <v>2223</v>
      </c>
      <c r="E74" s="37">
        <v>869</v>
      </c>
      <c r="F74" s="166">
        <v>39.1</v>
      </c>
      <c r="G74" s="40">
        <v>1246</v>
      </c>
      <c r="H74" s="37">
        <v>345</v>
      </c>
      <c r="I74" s="33">
        <v>27.7</v>
      </c>
      <c r="J74" s="37">
        <v>0.32600000000000001</v>
      </c>
      <c r="K74" s="40">
        <v>977</v>
      </c>
      <c r="L74" s="37">
        <v>524</v>
      </c>
      <c r="M74" s="100">
        <v>53.6</v>
      </c>
      <c r="N74" s="41">
        <v>0.314</v>
      </c>
      <c r="O74" s="24"/>
      <c r="P74" s="24"/>
      <c r="Q74" s="24"/>
      <c r="R74" s="24"/>
      <c r="S74" s="24"/>
      <c r="T74" s="24"/>
      <c r="U74" s="24"/>
    </row>
    <row r="75" spans="1:21" x14ac:dyDescent="0.35">
      <c r="A75" s="28">
        <v>11</v>
      </c>
      <c r="B75" s="29">
        <v>2020</v>
      </c>
      <c r="C75" s="30" t="s">
        <v>29</v>
      </c>
      <c r="D75" s="29">
        <v>2259</v>
      </c>
      <c r="E75" s="29">
        <v>853</v>
      </c>
      <c r="F75" s="51">
        <v>37.799999999999997</v>
      </c>
      <c r="G75" s="32">
        <v>1374</v>
      </c>
      <c r="H75" s="29">
        <v>387</v>
      </c>
      <c r="I75" s="33">
        <v>28.2</v>
      </c>
      <c r="J75" s="29">
        <v>0.36</v>
      </c>
      <c r="K75" s="32">
        <v>885</v>
      </c>
      <c r="L75" s="29">
        <v>466</v>
      </c>
      <c r="M75" s="167">
        <v>52.7</v>
      </c>
      <c r="N75" s="34">
        <v>0.28899999999999998</v>
      </c>
      <c r="O75" s="24"/>
      <c r="P75" s="24"/>
      <c r="Q75" s="24"/>
      <c r="R75" s="24"/>
      <c r="S75" s="24"/>
      <c r="T75" s="24"/>
      <c r="U75" s="24"/>
    </row>
    <row r="76" spans="1:21" x14ac:dyDescent="0.35">
      <c r="A76" s="36">
        <v>12</v>
      </c>
      <c r="B76" s="37">
        <v>2020</v>
      </c>
      <c r="C76" s="38" t="s">
        <v>22</v>
      </c>
      <c r="D76" s="37">
        <v>2244</v>
      </c>
      <c r="E76" s="37">
        <v>823</v>
      </c>
      <c r="F76" s="168">
        <v>36.700000000000003</v>
      </c>
      <c r="G76" s="40">
        <v>1232</v>
      </c>
      <c r="H76" s="37">
        <v>423</v>
      </c>
      <c r="I76" s="33">
        <v>34.299999999999997</v>
      </c>
      <c r="J76" s="37">
        <v>0.32500000000000001</v>
      </c>
      <c r="K76" s="40">
        <v>1012</v>
      </c>
      <c r="L76" s="37">
        <v>400</v>
      </c>
      <c r="M76" s="169">
        <v>39.5</v>
      </c>
      <c r="N76" s="41">
        <v>0.33600000000000002</v>
      </c>
      <c r="O76" s="24"/>
      <c r="P76" s="24"/>
      <c r="Q76" s="24"/>
      <c r="R76" s="24"/>
      <c r="S76" s="24"/>
      <c r="T76" s="24"/>
      <c r="U76" s="24"/>
    </row>
    <row r="77" spans="1:21" x14ac:dyDescent="0.35">
      <c r="A77" s="28">
        <v>13</v>
      </c>
      <c r="B77" s="29">
        <v>2020</v>
      </c>
      <c r="C77" s="30" t="s">
        <v>12</v>
      </c>
      <c r="D77" s="29">
        <v>2298</v>
      </c>
      <c r="E77" s="29">
        <v>843</v>
      </c>
      <c r="F77" s="168">
        <v>36.700000000000003</v>
      </c>
      <c r="G77" s="32">
        <v>1371</v>
      </c>
      <c r="H77" s="29">
        <v>291</v>
      </c>
      <c r="I77" s="170">
        <v>21.2</v>
      </c>
      <c r="J77" s="29">
        <v>0.33400000000000002</v>
      </c>
      <c r="K77" s="32">
        <v>927</v>
      </c>
      <c r="L77" s="29">
        <v>552</v>
      </c>
      <c r="M77" s="171">
        <v>59.5</v>
      </c>
      <c r="N77" s="34">
        <v>0.33300000000000002</v>
      </c>
      <c r="O77" s="24"/>
      <c r="P77" s="24"/>
      <c r="Q77" s="24"/>
      <c r="R77" s="24"/>
      <c r="S77" s="24"/>
      <c r="T77" s="24"/>
      <c r="U77" s="24"/>
    </row>
    <row r="78" spans="1:21" x14ac:dyDescent="0.35">
      <c r="A78" s="36">
        <v>14</v>
      </c>
      <c r="B78" s="37">
        <v>2020</v>
      </c>
      <c r="C78" s="38" t="s">
        <v>17</v>
      </c>
      <c r="D78" s="37">
        <v>2142</v>
      </c>
      <c r="E78" s="37">
        <v>767</v>
      </c>
      <c r="F78" s="172">
        <v>35.799999999999997</v>
      </c>
      <c r="G78" s="40">
        <v>1122</v>
      </c>
      <c r="H78" s="37">
        <v>241</v>
      </c>
      <c r="I78" s="88">
        <v>21.5</v>
      </c>
      <c r="J78" s="37">
        <v>0.32500000000000001</v>
      </c>
      <c r="K78" s="40">
        <v>1020</v>
      </c>
      <c r="L78" s="37">
        <v>526</v>
      </c>
      <c r="M78" s="120">
        <v>51.6</v>
      </c>
      <c r="N78" s="41">
        <v>0.32100000000000001</v>
      </c>
      <c r="O78" s="24"/>
      <c r="P78" s="24"/>
      <c r="Q78" s="24"/>
      <c r="R78" s="24"/>
      <c r="S78" s="24"/>
      <c r="T78" s="24"/>
      <c r="U78" s="24"/>
    </row>
    <row r="79" spans="1:21" x14ac:dyDescent="0.35">
      <c r="A79" s="28">
        <v>15</v>
      </c>
      <c r="B79" s="29">
        <v>2020</v>
      </c>
      <c r="C79" s="30" t="s">
        <v>35</v>
      </c>
      <c r="D79" s="29">
        <v>2125</v>
      </c>
      <c r="E79" s="29">
        <v>753</v>
      </c>
      <c r="F79" s="173">
        <v>35.4</v>
      </c>
      <c r="G79" s="32">
        <v>1278</v>
      </c>
      <c r="H79" s="29">
        <v>277</v>
      </c>
      <c r="I79" s="174">
        <v>21.7</v>
      </c>
      <c r="J79" s="29">
        <v>0.375</v>
      </c>
      <c r="K79" s="32">
        <v>847</v>
      </c>
      <c r="L79" s="29">
        <v>476</v>
      </c>
      <c r="M79" s="175">
        <v>56.2</v>
      </c>
      <c r="N79" s="34">
        <v>0.316</v>
      </c>
      <c r="O79" s="24"/>
      <c r="P79" s="24"/>
      <c r="Q79" s="24"/>
      <c r="R79" s="24"/>
      <c r="S79" s="24"/>
      <c r="T79" s="24"/>
      <c r="U79" s="24"/>
    </row>
    <row r="80" spans="1:21" x14ac:dyDescent="0.35">
      <c r="A80" s="36">
        <v>16</v>
      </c>
      <c r="B80" s="37">
        <v>2020</v>
      </c>
      <c r="C80" s="38" t="s">
        <v>37</v>
      </c>
      <c r="D80" s="37">
        <v>2242</v>
      </c>
      <c r="E80" s="37">
        <v>765</v>
      </c>
      <c r="F80" s="112">
        <v>34.1</v>
      </c>
      <c r="G80" s="40">
        <v>1374</v>
      </c>
      <c r="H80" s="37">
        <v>371</v>
      </c>
      <c r="I80" s="33">
        <v>27</v>
      </c>
      <c r="J80" s="37">
        <v>0.27600000000000002</v>
      </c>
      <c r="K80" s="40">
        <v>868</v>
      </c>
      <c r="L80" s="37">
        <v>394</v>
      </c>
      <c r="M80" s="176">
        <v>45.4</v>
      </c>
      <c r="N80" s="41">
        <v>0.33600000000000002</v>
      </c>
      <c r="O80" s="24"/>
      <c r="P80" s="24"/>
      <c r="Q80" s="24"/>
      <c r="R80" s="24"/>
      <c r="S80" s="24"/>
      <c r="T80" s="24"/>
      <c r="U80" s="24"/>
    </row>
    <row r="81" spans="1:21" x14ac:dyDescent="0.35">
      <c r="A81" s="28">
        <v>17</v>
      </c>
      <c r="B81" s="29">
        <v>2020</v>
      </c>
      <c r="C81" s="30" t="s">
        <v>20</v>
      </c>
      <c r="D81" s="29">
        <v>2260</v>
      </c>
      <c r="E81" s="29">
        <v>770</v>
      </c>
      <c r="F81" s="112">
        <v>34.1</v>
      </c>
      <c r="G81" s="32">
        <v>1340</v>
      </c>
      <c r="H81" s="29">
        <v>278</v>
      </c>
      <c r="I81" s="177">
        <v>20.7</v>
      </c>
      <c r="J81" s="29">
        <v>0.33900000000000002</v>
      </c>
      <c r="K81" s="32">
        <v>920</v>
      </c>
      <c r="L81" s="29">
        <v>492</v>
      </c>
      <c r="M81" s="178">
        <v>53.5</v>
      </c>
      <c r="N81" s="34">
        <v>0.32600000000000001</v>
      </c>
      <c r="O81" s="24"/>
      <c r="P81" s="24"/>
      <c r="Q81" s="24"/>
      <c r="R81" s="24"/>
      <c r="S81" s="24"/>
      <c r="T81" s="24"/>
      <c r="U81" s="24"/>
    </row>
    <row r="82" spans="1:21" x14ac:dyDescent="0.35">
      <c r="A82" s="36">
        <v>18</v>
      </c>
      <c r="B82" s="37">
        <v>2020</v>
      </c>
      <c r="C82" s="38" t="s">
        <v>13</v>
      </c>
      <c r="D82" s="37">
        <v>2240</v>
      </c>
      <c r="E82" s="37">
        <v>745</v>
      </c>
      <c r="F82" s="78">
        <v>33.299999999999997</v>
      </c>
      <c r="G82" s="40">
        <v>1406</v>
      </c>
      <c r="H82" s="37">
        <v>151</v>
      </c>
      <c r="I82" s="179">
        <v>10.7</v>
      </c>
      <c r="J82" s="37">
        <v>0.32500000000000001</v>
      </c>
      <c r="K82" s="40">
        <v>834</v>
      </c>
      <c r="L82" s="37">
        <v>594</v>
      </c>
      <c r="M82" s="33">
        <v>71.2</v>
      </c>
      <c r="N82" s="41">
        <v>0.308</v>
      </c>
      <c r="O82" s="24"/>
      <c r="P82" s="24"/>
      <c r="Q82" s="24"/>
      <c r="R82" s="24"/>
      <c r="S82" s="24"/>
      <c r="T82" s="24"/>
      <c r="U82" s="24"/>
    </row>
    <row r="83" spans="1:21" x14ac:dyDescent="0.35">
      <c r="A83" s="28">
        <v>19</v>
      </c>
      <c r="B83" s="29">
        <v>2020</v>
      </c>
      <c r="C83" s="30" t="s">
        <v>32</v>
      </c>
      <c r="D83" s="29">
        <v>2205</v>
      </c>
      <c r="E83" s="29">
        <v>731</v>
      </c>
      <c r="F83" s="180">
        <v>33.200000000000003</v>
      </c>
      <c r="G83" s="32">
        <v>1407</v>
      </c>
      <c r="H83" s="29">
        <v>427</v>
      </c>
      <c r="I83" s="33">
        <v>30.3</v>
      </c>
      <c r="J83" s="29">
        <v>0.36</v>
      </c>
      <c r="K83" s="32">
        <v>798</v>
      </c>
      <c r="L83" s="29">
        <v>304</v>
      </c>
      <c r="M83" s="105">
        <v>38.1</v>
      </c>
      <c r="N83" s="34">
        <v>0.26900000000000002</v>
      </c>
      <c r="O83" s="24"/>
      <c r="P83" s="24"/>
      <c r="Q83" s="24"/>
      <c r="R83" s="24"/>
      <c r="S83" s="24"/>
      <c r="T83" s="24"/>
      <c r="U83" s="24"/>
    </row>
    <row r="84" spans="1:21" x14ac:dyDescent="0.35">
      <c r="A84" s="36">
        <v>20</v>
      </c>
      <c r="B84" s="37">
        <v>2020</v>
      </c>
      <c r="C84" s="38" t="s">
        <v>25</v>
      </c>
      <c r="D84" s="37">
        <v>2233</v>
      </c>
      <c r="E84" s="37">
        <v>703</v>
      </c>
      <c r="F84" s="181">
        <v>31.5</v>
      </c>
      <c r="G84" s="40">
        <v>1294</v>
      </c>
      <c r="H84" s="37">
        <v>98</v>
      </c>
      <c r="I84" s="182">
        <v>7.6</v>
      </c>
      <c r="J84" s="37">
        <v>0.373</v>
      </c>
      <c r="K84" s="40">
        <v>939</v>
      </c>
      <c r="L84" s="37">
        <v>605</v>
      </c>
      <c r="M84" s="33">
        <v>64.400000000000006</v>
      </c>
      <c r="N84" s="41">
        <v>0.311</v>
      </c>
      <c r="O84" s="24"/>
      <c r="P84" s="24"/>
      <c r="Q84" s="24"/>
      <c r="R84" s="24"/>
      <c r="S84" s="24"/>
      <c r="T84" s="24"/>
      <c r="U84" s="24"/>
    </row>
    <row r="85" spans="1:21" x14ac:dyDescent="0.35">
      <c r="A85" s="28">
        <v>21</v>
      </c>
      <c r="B85" s="29">
        <v>2020</v>
      </c>
      <c r="C85" s="30" t="s">
        <v>24</v>
      </c>
      <c r="D85" s="29">
        <v>2155</v>
      </c>
      <c r="E85" s="29">
        <v>633</v>
      </c>
      <c r="F85" s="183">
        <v>29.4</v>
      </c>
      <c r="G85" s="32">
        <v>1328</v>
      </c>
      <c r="H85" s="29">
        <v>230</v>
      </c>
      <c r="I85" s="184">
        <v>17.3</v>
      </c>
      <c r="J85" s="29">
        <v>0.307</v>
      </c>
      <c r="K85" s="32">
        <v>827</v>
      </c>
      <c r="L85" s="29">
        <v>403</v>
      </c>
      <c r="M85" s="185">
        <v>48.7</v>
      </c>
      <c r="N85" s="34">
        <v>0.32100000000000001</v>
      </c>
      <c r="O85" s="24"/>
      <c r="P85" s="24"/>
      <c r="Q85" s="24"/>
      <c r="R85" s="24"/>
      <c r="S85" s="24"/>
      <c r="T85" s="24"/>
      <c r="U85" s="24"/>
    </row>
    <row r="86" spans="1:21" x14ac:dyDescent="0.35">
      <c r="A86" s="36">
        <v>22</v>
      </c>
      <c r="B86" s="37">
        <v>2020</v>
      </c>
      <c r="C86" s="38" t="s">
        <v>16</v>
      </c>
      <c r="D86" s="37">
        <v>2228</v>
      </c>
      <c r="E86" s="37">
        <v>653</v>
      </c>
      <c r="F86" s="70">
        <v>29.3</v>
      </c>
      <c r="G86" s="40">
        <v>1208</v>
      </c>
      <c r="H86" s="37">
        <v>185</v>
      </c>
      <c r="I86" s="186">
        <v>15.3</v>
      </c>
      <c r="J86" s="37">
        <v>0.3</v>
      </c>
      <c r="K86" s="40">
        <v>1020</v>
      </c>
      <c r="L86" s="37">
        <v>468</v>
      </c>
      <c r="M86" s="187">
        <v>45.9</v>
      </c>
      <c r="N86" s="41">
        <v>0.28999999999999998</v>
      </c>
      <c r="O86" s="24"/>
      <c r="P86" s="24"/>
      <c r="Q86" s="24"/>
      <c r="R86" s="24"/>
      <c r="S86" s="24"/>
      <c r="T86" s="24"/>
      <c r="U86" s="24"/>
    </row>
    <row r="87" spans="1:21" x14ac:dyDescent="0.35">
      <c r="A87" s="28">
        <v>23</v>
      </c>
      <c r="B87" s="29">
        <v>2020</v>
      </c>
      <c r="C87" s="30" t="s">
        <v>31</v>
      </c>
      <c r="D87" s="29">
        <v>2181</v>
      </c>
      <c r="E87" s="29">
        <v>617</v>
      </c>
      <c r="F87" s="188">
        <v>28.3</v>
      </c>
      <c r="G87" s="32">
        <v>1169</v>
      </c>
      <c r="H87" s="29">
        <v>265</v>
      </c>
      <c r="I87" s="189">
        <v>22.7</v>
      </c>
      <c r="J87" s="29">
        <v>0.36199999999999999</v>
      </c>
      <c r="K87" s="32">
        <v>1012</v>
      </c>
      <c r="L87" s="29">
        <v>352</v>
      </c>
      <c r="M87" s="190">
        <v>34.799999999999997</v>
      </c>
      <c r="N87" s="34">
        <v>0.39700000000000002</v>
      </c>
      <c r="O87" s="24"/>
      <c r="P87" s="24"/>
      <c r="Q87" s="24"/>
      <c r="R87" s="24"/>
      <c r="S87" s="24"/>
      <c r="T87" s="24"/>
      <c r="U87" s="24"/>
    </row>
    <row r="88" spans="1:21" x14ac:dyDescent="0.35">
      <c r="A88" s="36">
        <v>24</v>
      </c>
      <c r="B88" s="37">
        <v>2020</v>
      </c>
      <c r="C88" s="38" t="s">
        <v>38</v>
      </c>
      <c r="D88" s="37">
        <v>2159</v>
      </c>
      <c r="E88" s="37">
        <v>595</v>
      </c>
      <c r="F88" s="191">
        <v>27.6</v>
      </c>
      <c r="G88" s="40">
        <v>1157</v>
      </c>
      <c r="H88" s="37">
        <v>126</v>
      </c>
      <c r="I88" s="192">
        <v>10.9</v>
      </c>
      <c r="J88" s="37">
        <v>0.33900000000000002</v>
      </c>
      <c r="K88" s="40">
        <v>1002</v>
      </c>
      <c r="L88" s="37">
        <v>469</v>
      </c>
      <c r="M88" s="170">
        <v>46.8</v>
      </c>
      <c r="N88" s="41">
        <v>0.28999999999999998</v>
      </c>
      <c r="O88" s="24"/>
      <c r="P88" s="24"/>
      <c r="Q88" s="24"/>
      <c r="R88" s="24"/>
      <c r="S88" s="24"/>
      <c r="T88" s="24"/>
      <c r="U88" s="24"/>
    </row>
    <row r="89" spans="1:21" x14ac:dyDescent="0.35">
      <c r="A89" s="28">
        <v>25</v>
      </c>
      <c r="B89" s="29">
        <v>2020</v>
      </c>
      <c r="C89" s="30" t="s">
        <v>21</v>
      </c>
      <c r="D89" s="29">
        <v>2380</v>
      </c>
      <c r="E89" s="29">
        <v>641</v>
      </c>
      <c r="F89" s="193">
        <v>26.9</v>
      </c>
      <c r="G89" s="32">
        <v>1428</v>
      </c>
      <c r="H89" s="29">
        <v>268</v>
      </c>
      <c r="I89" s="109">
        <v>18.8</v>
      </c>
      <c r="J89" s="29">
        <v>0.4</v>
      </c>
      <c r="K89" s="32">
        <v>952</v>
      </c>
      <c r="L89" s="29">
        <v>373</v>
      </c>
      <c r="M89" s="194">
        <v>39.200000000000003</v>
      </c>
      <c r="N89" s="34">
        <v>0.35899999999999999</v>
      </c>
      <c r="O89" s="24"/>
      <c r="P89" s="24"/>
      <c r="Q89" s="24"/>
      <c r="R89" s="24"/>
      <c r="S89" s="24"/>
      <c r="T89" s="24"/>
      <c r="U89" s="24"/>
    </row>
    <row r="90" spans="1:21" x14ac:dyDescent="0.35">
      <c r="A90" s="36">
        <v>26</v>
      </c>
      <c r="B90" s="37">
        <v>2020</v>
      </c>
      <c r="C90" s="38" t="s">
        <v>39</v>
      </c>
      <c r="D90" s="37">
        <v>2326</v>
      </c>
      <c r="E90" s="37">
        <v>503</v>
      </c>
      <c r="F90" s="195">
        <v>21.6</v>
      </c>
      <c r="G90" s="40">
        <v>1219</v>
      </c>
      <c r="H90" s="37">
        <v>51</v>
      </c>
      <c r="I90" s="196">
        <v>4.2</v>
      </c>
      <c r="J90" s="37">
        <v>0.221</v>
      </c>
      <c r="K90" s="40">
        <v>1107</v>
      </c>
      <c r="L90" s="37">
        <v>452</v>
      </c>
      <c r="M90" s="197">
        <v>40.799999999999997</v>
      </c>
      <c r="N90" s="41">
        <v>0.375</v>
      </c>
      <c r="O90" s="24"/>
      <c r="P90" s="24"/>
      <c r="Q90" s="24"/>
      <c r="R90" s="24"/>
      <c r="S90" s="24"/>
      <c r="T90" s="24"/>
      <c r="U90" s="24"/>
    </row>
    <row r="91" spans="1:21" x14ac:dyDescent="0.35">
      <c r="A91" s="28">
        <v>27</v>
      </c>
      <c r="B91" s="29">
        <v>2020</v>
      </c>
      <c r="C91" s="30" t="s">
        <v>18</v>
      </c>
      <c r="D91" s="29">
        <v>2254</v>
      </c>
      <c r="E91" s="29">
        <v>483</v>
      </c>
      <c r="F91" s="147">
        <v>21.4</v>
      </c>
      <c r="G91" s="32">
        <v>1346</v>
      </c>
      <c r="H91" s="29">
        <v>179</v>
      </c>
      <c r="I91" s="198">
        <v>13.3</v>
      </c>
      <c r="J91" s="29">
        <v>0.35599999999999998</v>
      </c>
      <c r="K91" s="32">
        <v>908</v>
      </c>
      <c r="L91" s="29">
        <v>304</v>
      </c>
      <c r="M91" s="117">
        <v>33.5</v>
      </c>
      <c r="N91" s="34">
        <v>0.33</v>
      </c>
      <c r="O91" s="24"/>
      <c r="P91" s="24"/>
      <c r="Q91" s="24"/>
      <c r="R91" s="24"/>
      <c r="S91" s="24"/>
      <c r="T91" s="24"/>
      <c r="U91" s="24"/>
    </row>
    <row r="92" spans="1:21" x14ac:dyDescent="0.35">
      <c r="A92" s="36">
        <v>28</v>
      </c>
      <c r="B92" s="37">
        <v>2020</v>
      </c>
      <c r="C92" s="38" t="s">
        <v>30</v>
      </c>
      <c r="D92" s="37">
        <v>1981</v>
      </c>
      <c r="E92" s="37">
        <v>376</v>
      </c>
      <c r="F92" s="199">
        <v>19</v>
      </c>
      <c r="G92" s="40">
        <v>1118</v>
      </c>
      <c r="H92" s="37">
        <v>119</v>
      </c>
      <c r="I92" s="200">
        <v>10.6</v>
      </c>
      <c r="J92" s="37">
        <v>0.23799999999999999</v>
      </c>
      <c r="K92" s="40">
        <v>863</v>
      </c>
      <c r="L92" s="37">
        <v>257</v>
      </c>
      <c r="M92" s="201">
        <v>29.8</v>
      </c>
      <c r="N92" s="41">
        <v>0.318</v>
      </c>
      <c r="O92" s="24"/>
      <c r="P92" s="24"/>
      <c r="Q92" s="24"/>
      <c r="R92" s="24"/>
      <c r="S92" s="24"/>
      <c r="T92" s="24"/>
      <c r="U92" s="24"/>
    </row>
    <row r="93" spans="1:21" x14ac:dyDescent="0.35">
      <c r="A93" s="28">
        <v>29</v>
      </c>
      <c r="B93" s="29">
        <v>2020</v>
      </c>
      <c r="C93" s="30" t="s">
        <v>36</v>
      </c>
      <c r="D93" s="29">
        <v>2155</v>
      </c>
      <c r="E93" s="29">
        <v>403</v>
      </c>
      <c r="F93" s="202">
        <v>18.7</v>
      </c>
      <c r="G93" s="32">
        <v>1136</v>
      </c>
      <c r="H93" s="29">
        <v>15</v>
      </c>
      <c r="I93" s="203">
        <v>1.3</v>
      </c>
      <c r="J93" s="29">
        <v>0.28399999999999997</v>
      </c>
      <c r="K93" s="32">
        <v>1019</v>
      </c>
      <c r="L93" s="29">
        <v>388</v>
      </c>
      <c r="M93" s="105">
        <v>38.1</v>
      </c>
      <c r="N93" s="34">
        <v>0.218</v>
      </c>
      <c r="O93" s="24"/>
      <c r="P93" s="24"/>
      <c r="Q93" s="24"/>
      <c r="R93" s="24"/>
      <c r="S93" s="24"/>
      <c r="T93" s="24"/>
      <c r="U93" s="24"/>
    </row>
    <row r="94" spans="1:21" x14ac:dyDescent="0.35">
      <c r="A94" s="36">
        <v>30</v>
      </c>
      <c r="B94" s="37">
        <v>2020</v>
      </c>
      <c r="C94" s="38" t="s">
        <v>27</v>
      </c>
      <c r="D94" s="37">
        <v>2260</v>
      </c>
      <c r="E94" s="37">
        <v>172</v>
      </c>
      <c r="F94" s="204">
        <v>7.6</v>
      </c>
      <c r="G94" s="40">
        <v>1395</v>
      </c>
      <c r="H94" s="37">
        <v>78</v>
      </c>
      <c r="I94" s="205">
        <v>5.6</v>
      </c>
      <c r="J94" s="37">
        <v>0.318</v>
      </c>
      <c r="K94" s="40">
        <v>865</v>
      </c>
      <c r="L94" s="37">
        <v>94</v>
      </c>
      <c r="M94" s="206">
        <v>10.9</v>
      </c>
      <c r="N94" s="41">
        <v>0.35299999999999998</v>
      </c>
      <c r="O94" s="24"/>
      <c r="P94" s="24"/>
      <c r="Q94" s="24"/>
      <c r="R94" s="24"/>
      <c r="S94" s="24"/>
      <c r="T94" s="24"/>
      <c r="U94" s="24"/>
    </row>
    <row r="95" spans="1:21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</sheetData>
  <mergeCells count="2">
    <mergeCell ref="G1:J1"/>
    <mergeCell ref="K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C84-16C4-4F87-8D48-8E79C2CF96EF}">
  <dimension ref="A1:F52"/>
  <sheetViews>
    <sheetView workbookViewId="0">
      <selection activeCell="E54" sqref="E54"/>
    </sheetView>
  </sheetViews>
  <sheetFormatPr defaultRowHeight="14.5" x14ac:dyDescent="0.35"/>
  <cols>
    <col min="1" max="1" width="16.54296875" bestFit="1" customWidth="1"/>
    <col min="4" max="4" width="16.7265625" bestFit="1" customWidth="1"/>
  </cols>
  <sheetData>
    <row r="1" spans="1:6" x14ac:dyDescent="0.35">
      <c r="A1" s="228" t="s">
        <v>326</v>
      </c>
      <c r="B1" s="229" t="s">
        <v>327</v>
      </c>
      <c r="C1" s="224" t="s">
        <v>335</v>
      </c>
      <c r="D1" s="228" t="s">
        <v>333</v>
      </c>
      <c r="E1" s="229" t="s">
        <v>334</v>
      </c>
      <c r="F1" s="224" t="s">
        <v>336</v>
      </c>
    </row>
    <row r="2" spans="1:6" ht="15" thickBot="1" x14ac:dyDescent="0.4">
      <c r="A2" s="2" t="s">
        <v>121</v>
      </c>
      <c r="B2" s="3">
        <v>2878</v>
      </c>
      <c r="C2" s="3">
        <v>88.7</v>
      </c>
      <c r="D2" s="2" t="s">
        <v>206</v>
      </c>
      <c r="E2" s="3">
        <v>2776</v>
      </c>
      <c r="F2" s="3">
        <v>76.400000000000006</v>
      </c>
    </row>
    <row r="3" spans="1:6" ht="15" thickBot="1" x14ac:dyDescent="0.4">
      <c r="A3" s="2" t="s">
        <v>137</v>
      </c>
      <c r="B3" s="3">
        <v>2893</v>
      </c>
      <c r="C3" s="3">
        <v>82.2</v>
      </c>
      <c r="D3" s="2" t="s">
        <v>202</v>
      </c>
      <c r="E3" s="3">
        <v>2617</v>
      </c>
      <c r="F3" s="3">
        <v>79.900000000000006</v>
      </c>
    </row>
    <row r="4" spans="1:6" ht="15" thickBot="1" x14ac:dyDescent="0.4">
      <c r="A4" s="2" t="s">
        <v>166</v>
      </c>
      <c r="B4" s="3">
        <v>2546</v>
      </c>
      <c r="C4" s="3">
        <v>88</v>
      </c>
      <c r="D4" s="2" t="s">
        <v>213</v>
      </c>
      <c r="E4" s="3">
        <v>2897</v>
      </c>
      <c r="F4" s="3">
        <v>68.3</v>
      </c>
    </row>
    <row r="5" spans="1:6" ht="15" thickBot="1" x14ac:dyDescent="0.4">
      <c r="A5" s="2" t="s">
        <v>131</v>
      </c>
      <c r="B5" s="3">
        <v>2436</v>
      </c>
      <c r="C5" s="3">
        <v>88</v>
      </c>
      <c r="D5" s="2" t="s">
        <v>211</v>
      </c>
      <c r="E5" s="3">
        <v>2248</v>
      </c>
      <c r="F5" s="3">
        <v>76.2</v>
      </c>
    </row>
    <row r="6" spans="1:6" ht="15" thickBot="1" x14ac:dyDescent="0.4">
      <c r="A6" s="2" t="s">
        <v>116</v>
      </c>
      <c r="B6" s="3">
        <v>2268</v>
      </c>
      <c r="C6" s="3">
        <v>93.4</v>
      </c>
      <c r="D6" s="2" t="s">
        <v>219</v>
      </c>
      <c r="E6" s="3">
        <v>2105</v>
      </c>
      <c r="F6" s="3">
        <v>73.400000000000006</v>
      </c>
    </row>
    <row r="7" spans="1:6" ht="15" thickBot="1" x14ac:dyDescent="0.4">
      <c r="A7" s="2" t="s">
        <v>156</v>
      </c>
      <c r="B7" s="3">
        <v>2301</v>
      </c>
      <c r="C7" s="3">
        <v>90.6</v>
      </c>
      <c r="D7" s="2" t="s">
        <v>223</v>
      </c>
      <c r="E7" s="3">
        <v>2906</v>
      </c>
      <c r="F7" s="3">
        <v>50.6</v>
      </c>
    </row>
    <row r="8" spans="1:6" ht="15" thickBot="1" x14ac:dyDescent="0.4">
      <c r="A8" s="2" t="s">
        <v>143</v>
      </c>
      <c r="B8" s="3">
        <v>2262</v>
      </c>
      <c r="C8" s="3">
        <v>91.3</v>
      </c>
      <c r="D8" s="2" t="s">
        <v>221</v>
      </c>
      <c r="E8" s="3">
        <v>2521</v>
      </c>
      <c r="F8" s="3">
        <v>58.1</v>
      </c>
    </row>
    <row r="9" spans="1:6" ht="15" thickBot="1" x14ac:dyDescent="0.4">
      <c r="A9" s="2" t="s">
        <v>114</v>
      </c>
      <c r="B9" s="3">
        <v>2195</v>
      </c>
      <c r="C9" s="3">
        <v>88.3</v>
      </c>
      <c r="D9" s="2" t="s">
        <v>228</v>
      </c>
      <c r="E9" s="3">
        <v>2428</v>
      </c>
      <c r="F9" s="3">
        <v>58</v>
      </c>
    </row>
    <row r="10" spans="1:6" ht="15" thickBot="1" x14ac:dyDescent="0.4">
      <c r="A10" s="2" t="s">
        <v>171</v>
      </c>
      <c r="B10" s="3">
        <v>2742</v>
      </c>
      <c r="C10" s="3">
        <v>70</v>
      </c>
      <c r="D10" s="2" t="s">
        <v>311</v>
      </c>
      <c r="E10" s="3">
        <v>1881</v>
      </c>
      <c r="F10" s="3">
        <v>71.099999999999994</v>
      </c>
    </row>
    <row r="11" spans="1:6" ht="15" thickBot="1" x14ac:dyDescent="0.4">
      <c r="A11" s="2" t="s">
        <v>144</v>
      </c>
      <c r="B11" s="3">
        <v>2392</v>
      </c>
      <c r="C11" s="3">
        <v>79.900000000000006</v>
      </c>
      <c r="D11" s="2" t="s">
        <v>215</v>
      </c>
      <c r="E11" s="3">
        <v>1700</v>
      </c>
      <c r="F11" s="3">
        <v>77.5</v>
      </c>
    </row>
    <row r="12" spans="1:6" ht="15" thickBot="1" x14ac:dyDescent="0.4">
      <c r="A12" s="2" t="s">
        <v>138</v>
      </c>
      <c r="B12" s="3">
        <v>2198</v>
      </c>
      <c r="C12" s="3">
        <v>86.2</v>
      </c>
      <c r="D12" s="2" t="s">
        <v>225</v>
      </c>
      <c r="E12" s="3">
        <v>2175</v>
      </c>
      <c r="F12" s="3">
        <v>60.1</v>
      </c>
    </row>
    <row r="13" spans="1:6" ht="15" thickBot="1" x14ac:dyDescent="0.4">
      <c r="A13" s="2" t="s">
        <v>155</v>
      </c>
      <c r="B13" s="3">
        <v>2349</v>
      </c>
      <c r="C13" s="3">
        <v>78.400000000000006</v>
      </c>
      <c r="D13" s="2" t="s">
        <v>204</v>
      </c>
      <c r="E13" s="3">
        <v>2162</v>
      </c>
      <c r="F13" s="3">
        <v>60.1</v>
      </c>
    </row>
    <row r="14" spans="1:6" ht="15" thickBot="1" x14ac:dyDescent="0.4">
      <c r="A14" s="2" t="s">
        <v>124</v>
      </c>
      <c r="B14" s="3">
        <v>2112</v>
      </c>
      <c r="C14" s="3">
        <v>83.3</v>
      </c>
      <c r="D14" s="2" t="s">
        <v>205</v>
      </c>
      <c r="E14" s="3">
        <v>2308</v>
      </c>
      <c r="F14" s="3">
        <v>53</v>
      </c>
    </row>
    <row r="15" spans="1:6" ht="15" thickBot="1" x14ac:dyDescent="0.4">
      <c r="A15" s="2" t="s">
        <v>153</v>
      </c>
      <c r="B15" s="3">
        <v>2196</v>
      </c>
      <c r="C15" s="3">
        <v>79.7</v>
      </c>
      <c r="D15" s="2" t="s">
        <v>232</v>
      </c>
      <c r="E15" s="3">
        <v>1529</v>
      </c>
      <c r="F15" s="3">
        <v>78.2</v>
      </c>
    </row>
    <row r="16" spans="1:6" ht="15" thickBot="1" x14ac:dyDescent="0.4">
      <c r="A16" s="2" t="s">
        <v>152</v>
      </c>
      <c r="B16" s="3">
        <v>2229</v>
      </c>
      <c r="C16" s="3">
        <v>75.5</v>
      </c>
      <c r="D16" s="2" t="s">
        <v>222</v>
      </c>
      <c r="E16" s="3">
        <v>2364</v>
      </c>
      <c r="F16" s="3">
        <v>48.5</v>
      </c>
    </row>
    <row r="17" spans="1:6" ht="15" thickBot="1" x14ac:dyDescent="0.4">
      <c r="A17" s="2" t="s">
        <v>163</v>
      </c>
      <c r="B17" s="3">
        <v>2102</v>
      </c>
      <c r="C17" s="3">
        <v>79.3</v>
      </c>
      <c r="D17" s="2" t="s">
        <v>212</v>
      </c>
      <c r="E17" s="3">
        <v>2641</v>
      </c>
      <c r="F17" s="3">
        <v>43.2</v>
      </c>
    </row>
    <row r="18" spans="1:6" ht="15" thickBot="1" x14ac:dyDescent="0.4">
      <c r="A18" s="2" t="s">
        <v>119</v>
      </c>
      <c r="B18" s="3">
        <v>1761</v>
      </c>
      <c r="C18" s="3">
        <v>92.3</v>
      </c>
      <c r="D18" s="2" t="s">
        <v>220</v>
      </c>
      <c r="E18" s="3">
        <v>2066</v>
      </c>
      <c r="F18" s="3">
        <v>50.8</v>
      </c>
    </row>
    <row r="19" spans="1:6" ht="15" thickBot="1" x14ac:dyDescent="0.4">
      <c r="A19" s="2" t="s">
        <v>158</v>
      </c>
      <c r="B19" s="3">
        <v>2765</v>
      </c>
      <c r="C19" s="3">
        <v>57.5</v>
      </c>
      <c r="D19" s="2" t="s">
        <v>217</v>
      </c>
      <c r="E19" s="3">
        <v>2507</v>
      </c>
      <c r="F19" s="3">
        <v>40.6</v>
      </c>
    </row>
    <row r="20" spans="1:6" ht="15" thickBot="1" x14ac:dyDescent="0.4">
      <c r="A20" s="2" t="s">
        <v>109</v>
      </c>
      <c r="B20" s="3">
        <v>1700</v>
      </c>
      <c r="C20" s="3">
        <v>93.4</v>
      </c>
      <c r="D20" s="2" t="s">
        <v>190</v>
      </c>
      <c r="E20" s="3">
        <v>2537</v>
      </c>
      <c r="F20" s="3">
        <v>40.1</v>
      </c>
    </row>
    <row r="21" spans="1:6" ht="15" thickBot="1" x14ac:dyDescent="0.4">
      <c r="A21" s="2" t="s">
        <v>120</v>
      </c>
      <c r="B21" s="3">
        <v>2618</v>
      </c>
      <c r="C21" s="3">
        <v>59.7</v>
      </c>
      <c r="D21" s="2" t="s">
        <v>234</v>
      </c>
      <c r="E21" s="3">
        <v>2023</v>
      </c>
      <c r="F21" s="3">
        <v>49.9</v>
      </c>
    </row>
    <row r="22" spans="1:6" ht="15" thickBot="1" x14ac:dyDescent="0.4">
      <c r="A22" s="2" t="s">
        <v>130</v>
      </c>
      <c r="B22" s="3">
        <v>1840</v>
      </c>
      <c r="C22" s="3">
        <v>83</v>
      </c>
      <c r="D22" s="2" t="s">
        <v>194</v>
      </c>
      <c r="E22" s="3">
        <v>2027</v>
      </c>
      <c r="F22" s="3">
        <v>49.1</v>
      </c>
    </row>
    <row r="23" spans="1:6" ht="15" thickBot="1" x14ac:dyDescent="0.4">
      <c r="A23" s="2" t="s">
        <v>139</v>
      </c>
      <c r="B23" s="3">
        <v>1656</v>
      </c>
      <c r="C23" s="3">
        <v>90.6</v>
      </c>
      <c r="D23" s="2" t="s">
        <v>303</v>
      </c>
      <c r="E23" s="3">
        <v>2233</v>
      </c>
      <c r="F23" s="3">
        <v>42.9</v>
      </c>
    </row>
    <row r="24" spans="1:6" ht="15" thickBot="1" x14ac:dyDescent="0.4">
      <c r="A24" s="2" t="s">
        <v>281</v>
      </c>
      <c r="B24" s="3">
        <v>1725</v>
      </c>
      <c r="C24" s="3">
        <v>86.3</v>
      </c>
      <c r="D24" s="2" t="s">
        <v>235</v>
      </c>
      <c r="E24" s="3">
        <v>2543</v>
      </c>
      <c r="F24" s="3">
        <v>37.4</v>
      </c>
    </row>
    <row r="25" spans="1:6" ht="15" thickBot="1" x14ac:dyDescent="0.4">
      <c r="A25" s="2" t="s">
        <v>115</v>
      </c>
      <c r="B25" s="3">
        <v>2066</v>
      </c>
      <c r="C25" s="3">
        <v>70.8</v>
      </c>
      <c r="D25" s="2" t="s">
        <v>200</v>
      </c>
      <c r="E25" s="3">
        <v>2242</v>
      </c>
      <c r="F25" s="3">
        <v>42.4</v>
      </c>
    </row>
    <row r="26" spans="1:6" ht="15" thickBot="1" x14ac:dyDescent="0.4">
      <c r="A26" s="2" t="s">
        <v>133</v>
      </c>
      <c r="B26" s="3">
        <v>2085</v>
      </c>
      <c r="C26" s="3">
        <v>69.7</v>
      </c>
      <c r="D26" s="2" t="s">
        <v>207</v>
      </c>
      <c r="E26" s="3">
        <v>1837</v>
      </c>
      <c r="F26" s="3">
        <v>50</v>
      </c>
    </row>
    <row r="27" spans="1:6" ht="15" thickBot="1" x14ac:dyDescent="0.4">
      <c r="A27" s="2" t="s">
        <v>157</v>
      </c>
      <c r="B27" s="3">
        <v>2755</v>
      </c>
      <c r="C27" s="3">
        <v>51.6</v>
      </c>
      <c r="D27" s="2" t="s">
        <v>216</v>
      </c>
      <c r="E27" s="3">
        <v>2226</v>
      </c>
      <c r="F27" s="3">
        <v>40.299999999999997</v>
      </c>
    </row>
    <row r="28" spans="1:6" ht="15" thickBot="1" x14ac:dyDescent="0.4">
      <c r="A28" s="2" t="s">
        <v>145</v>
      </c>
      <c r="B28" s="3">
        <v>2219</v>
      </c>
      <c r="C28" s="3">
        <v>62.3</v>
      </c>
      <c r="D28" s="2" t="s">
        <v>208</v>
      </c>
      <c r="E28" s="3">
        <v>2176</v>
      </c>
      <c r="F28" s="3">
        <v>39.700000000000003</v>
      </c>
    </row>
    <row r="29" spans="1:6" ht="15" thickBot="1" x14ac:dyDescent="0.4">
      <c r="A29" s="2" t="s">
        <v>122</v>
      </c>
      <c r="B29" s="3">
        <v>1768</v>
      </c>
      <c r="C29" s="3">
        <v>77.5</v>
      </c>
      <c r="D29" s="2" t="s">
        <v>209</v>
      </c>
      <c r="E29" s="3">
        <v>2751</v>
      </c>
      <c r="F29" s="3">
        <v>31.2</v>
      </c>
    </row>
    <row r="30" spans="1:6" ht="15" thickBot="1" x14ac:dyDescent="0.4">
      <c r="A30" s="2" t="s">
        <v>128</v>
      </c>
      <c r="B30" s="3">
        <v>2017</v>
      </c>
      <c r="C30" s="3">
        <v>67.599999999999994</v>
      </c>
      <c r="D30" s="2" t="s">
        <v>203</v>
      </c>
      <c r="E30" s="3">
        <v>2372</v>
      </c>
      <c r="F30" s="3">
        <v>35.700000000000003</v>
      </c>
    </row>
    <row r="31" spans="1:6" ht="15" thickBot="1" x14ac:dyDescent="0.4">
      <c r="A31" s="2" t="s">
        <v>113</v>
      </c>
      <c r="B31" s="3">
        <v>1685</v>
      </c>
      <c r="C31" s="3">
        <v>79.400000000000006</v>
      </c>
      <c r="D31" s="2" t="s">
        <v>300</v>
      </c>
      <c r="E31" s="3">
        <v>2297</v>
      </c>
      <c r="F31" s="3">
        <v>34.200000000000003</v>
      </c>
    </row>
    <row r="32" spans="1:6" ht="15" thickBot="1" x14ac:dyDescent="0.4">
      <c r="A32" s="2" t="s">
        <v>150</v>
      </c>
      <c r="B32" s="3">
        <v>1505</v>
      </c>
      <c r="C32" s="3">
        <v>83.7</v>
      </c>
      <c r="D32" s="2" t="s">
        <v>237</v>
      </c>
      <c r="E32" s="3">
        <v>1522</v>
      </c>
      <c r="F32" s="3">
        <v>48.8</v>
      </c>
    </row>
    <row r="33" spans="1:6" ht="15" thickBot="1" x14ac:dyDescent="0.4">
      <c r="A33" s="2" t="s">
        <v>110</v>
      </c>
      <c r="B33" s="3">
        <v>2790</v>
      </c>
      <c r="C33" s="3">
        <v>44.9</v>
      </c>
      <c r="D33" s="2" t="s">
        <v>308</v>
      </c>
      <c r="E33" s="3">
        <v>1584</v>
      </c>
      <c r="F33" s="3">
        <v>44.3</v>
      </c>
    </row>
    <row r="34" spans="1:6" ht="15" thickBot="1" x14ac:dyDescent="0.4">
      <c r="A34" s="2" t="s">
        <v>125</v>
      </c>
      <c r="B34" s="3">
        <v>1746</v>
      </c>
      <c r="C34" s="3">
        <v>70.3</v>
      </c>
      <c r="D34" s="2" t="s">
        <v>302</v>
      </c>
      <c r="E34" s="3">
        <v>1504</v>
      </c>
      <c r="F34" s="3">
        <v>46.4</v>
      </c>
    </row>
    <row r="35" spans="1:6" ht="15" thickBot="1" x14ac:dyDescent="0.4">
      <c r="A35" s="2" t="s">
        <v>123</v>
      </c>
      <c r="B35" s="3">
        <v>2460</v>
      </c>
      <c r="C35" s="3">
        <v>49.8</v>
      </c>
      <c r="D35" s="2" t="s">
        <v>318</v>
      </c>
      <c r="E35" s="3">
        <v>2466</v>
      </c>
      <c r="F35" s="3">
        <v>26.8</v>
      </c>
    </row>
    <row r="36" spans="1:6" ht="15" thickBot="1" x14ac:dyDescent="0.4">
      <c r="A36" s="2" t="s">
        <v>168</v>
      </c>
      <c r="B36" s="3">
        <v>2047</v>
      </c>
      <c r="C36" s="3">
        <v>58.9</v>
      </c>
      <c r="D36" s="2" t="s">
        <v>317</v>
      </c>
      <c r="E36" s="3">
        <v>1620</v>
      </c>
      <c r="F36" s="3">
        <v>40.4</v>
      </c>
    </row>
    <row r="37" spans="1:6" ht="15" thickBot="1" x14ac:dyDescent="0.4">
      <c r="A37" s="2" t="s">
        <v>149</v>
      </c>
      <c r="B37" s="3">
        <v>2232</v>
      </c>
      <c r="C37" s="3">
        <v>53.9</v>
      </c>
      <c r="D37" s="2" t="s">
        <v>307</v>
      </c>
      <c r="E37" s="3">
        <v>2078</v>
      </c>
      <c r="F37" s="3">
        <v>31.1</v>
      </c>
    </row>
    <row r="38" spans="1:6" ht="15" thickBot="1" x14ac:dyDescent="0.4">
      <c r="A38" s="2" t="s">
        <v>140</v>
      </c>
      <c r="B38" s="3">
        <v>1642</v>
      </c>
      <c r="C38" s="3">
        <v>72.8</v>
      </c>
      <c r="D38" s="2" t="s">
        <v>301</v>
      </c>
      <c r="E38" s="3">
        <v>2426</v>
      </c>
      <c r="F38" s="3">
        <v>26.5</v>
      </c>
    </row>
    <row r="39" spans="1:6" ht="15" thickBot="1" x14ac:dyDescent="0.4">
      <c r="A39" s="2" t="s">
        <v>132</v>
      </c>
      <c r="B39" s="3">
        <v>2009</v>
      </c>
      <c r="C39" s="3">
        <v>59.5</v>
      </c>
      <c r="D39" s="2" t="s">
        <v>296</v>
      </c>
      <c r="E39" s="3">
        <v>2218</v>
      </c>
      <c r="F39" s="3">
        <v>26.6</v>
      </c>
    </row>
    <row r="40" spans="1:6" ht="15" thickBot="1" x14ac:dyDescent="0.4">
      <c r="A40" s="2" t="s">
        <v>118</v>
      </c>
      <c r="B40" s="3">
        <v>2572</v>
      </c>
      <c r="C40" s="3">
        <v>46.2</v>
      </c>
      <c r="D40" s="2" t="s">
        <v>306</v>
      </c>
      <c r="E40" s="3">
        <v>2359</v>
      </c>
      <c r="F40" s="3">
        <v>24.7</v>
      </c>
    </row>
    <row r="41" spans="1:6" ht="15" thickBot="1" x14ac:dyDescent="0.4">
      <c r="A41" s="2" t="s">
        <v>129</v>
      </c>
      <c r="B41" s="3">
        <v>1594</v>
      </c>
      <c r="C41" s="3">
        <v>74.599999999999994</v>
      </c>
      <c r="D41" s="2" t="s">
        <v>328</v>
      </c>
      <c r="E41" s="3">
        <v>2637</v>
      </c>
      <c r="F41" s="3">
        <v>22</v>
      </c>
    </row>
    <row r="42" spans="1:6" ht="15" thickBot="1" x14ac:dyDescent="0.4">
      <c r="A42" s="2" t="s">
        <v>127</v>
      </c>
      <c r="B42" s="3">
        <v>2829</v>
      </c>
      <c r="C42" s="3">
        <v>41.7</v>
      </c>
      <c r="D42" s="2" t="s">
        <v>305</v>
      </c>
      <c r="E42" s="3">
        <v>1594</v>
      </c>
      <c r="F42" s="3">
        <v>34.9</v>
      </c>
    </row>
    <row r="43" spans="1:6" ht="15" thickBot="1" x14ac:dyDescent="0.4">
      <c r="A43" s="2" t="s">
        <v>111</v>
      </c>
      <c r="B43" s="3">
        <v>2303</v>
      </c>
      <c r="C43" s="3">
        <v>49.8</v>
      </c>
      <c r="D43" s="2" t="s">
        <v>299</v>
      </c>
      <c r="E43" s="3">
        <v>2004</v>
      </c>
      <c r="F43" s="3">
        <v>27.4</v>
      </c>
    </row>
    <row r="44" spans="1:6" ht="15" thickBot="1" x14ac:dyDescent="0.4">
      <c r="A44" s="2" t="s">
        <v>229</v>
      </c>
      <c r="B44" s="3">
        <v>2089</v>
      </c>
      <c r="C44" s="3">
        <v>54.5</v>
      </c>
      <c r="D44" s="2" t="s">
        <v>329</v>
      </c>
      <c r="E44" s="3">
        <v>2373</v>
      </c>
      <c r="F44" s="3">
        <v>22.3</v>
      </c>
    </row>
    <row r="45" spans="1:6" ht="15" thickBot="1" x14ac:dyDescent="0.4">
      <c r="A45" s="2" t="s">
        <v>147</v>
      </c>
      <c r="B45" s="3">
        <v>2559</v>
      </c>
      <c r="C45" s="3">
        <v>44.3</v>
      </c>
      <c r="D45" s="2" t="s">
        <v>330</v>
      </c>
      <c r="E45" s="3">
        <v>2500</v>
      </c>
      <c r="F45" s="3">
        <v>20.9</v>
      </c>
    </row>
    <row r="46" spans="1:6" ht="15" thickBot="1" x14ac:dyDescent="0.4">
      <c r="A46" s="2" t="s">
        <v>154</v>
      </c>
      <c r="B46" s="3">
        <v>1900</v>
      </c>
      <c r="C46" s="3">
        <v>59.3</v>
      </c>
      <c r="D46" s="2" t="s">
        <v>331</v>
      </c>
      <c r="E46" s="3">
        <v>1733</v>
      </c>
      <c r="F46" s="3">
        <v>26.3</v>
      </c>
    </row>
    <row r="47" spans="1:6" ht="15" thickBot="1" x14ac:dyDescent="0.4">
      <c r="A47" s="2" t="s">
        <v>231</v>
      </c>
      <c r="B47" s="3">
        <v>1572</v>
      </c>
      <c r="C47" s="3">
        <v>71.099999999999994</v>
      </c>
      <c r="D47" s="2" t="s">
        <v>289</v>
      </c>
      <c r="E47" s="3">
        <v>2371</v>
      </c>
      <c r="F47" s="3">
        <v>18.7</v>
      </c>
    </row>
    <row r="48" spans="1:6" ht="15" thickBot="1" x14ac:dyDescent="0.4">
      <c r="A48" s="2" t="s">
        <v>159</v>
      </c>
      <c r="B48" s="3">
        <v>1942</v>
      </c>
      <c r="C48" s="3">
        <v>55.7</v>
      </c>
      <c r="D48" s="2" t="s">
        <v>291</v>
      </c>
      <c r="E48" s="3">
        <v>1648</v>
      </c>
      <c r="F48" s="3">
        <v>24.2</v>
      </c>
    </row>
    <row r="49" spans="1:6" ht="15" thickBot="1" x14ac:dyDescent="0.4">
      <c r="A49" s="2" t="s">
        <v>117</v>
      </c>
      <c r="B49" s="3">
        <v>1725</v>
      </c>
      <c r="C49" s="3">
        <v>62.3</v>
      </c>
      <c r="D49" s="2" t="s">
        <v>332</v>
      </c>
      <c r="E49" s="3">
        <v>1980</v>
      </c>
      <c r="F49" s="3">
        <v>19.899999999999999</v>
      </c>
    </row>
    <row r="50" spans="1:6" ht="15" thickBot="1" x14ac:dyDescent="0.4">
      <c r="A50" s="2" t="s">
        <v>161</v>
      </c>
      <c r="B50" s="3">
        <v>1699</v>
      </c>
      <c r="C50" s="3">
        <v>62.4</v>
      </c>
      <c r="D50" s="2" t="s">
        <v>297</v>
      </c>
      <c r="E50" s="3">
        <v>2051</v>
      </c>
      <c r="F50" s="3">
        <v>18.5</v>
      </c>
    </row>
    <row r="51" spans="1:6" x14ac:dyDescent="0.35">
      <c r="A51" s="233" t="s">
        <v>135</v>
      </c>
      <c r="B51" s="235">
        <v>2505</v>
      </c>
      <c r="C51" s="230">
        <v>39.6</v>
      </c>
      <c r="D51" s="233" t="s">
        <v>292</v>
      </c>
      <c r="E51" s="235">
        <v>2145</v>
      </c>
      <c r="F51" s="230">
        <v>17.3</v>
      </c>
    </row>
    <row r="52" spans="1:6" ht="15" thickBot="1" x14ac:dyDescent="0.4">
      <c r="A52" s="234"/>
      <c r="B52" s="236"/>
      <c r="C52" s="231"/>
      <c r="D52" s="234"/>
      <c r="E52" s="236"/>
      <c r="F52" s="2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59B5-41EA-49AB-BBF5-1D988F0AD177}">
  <dimension ref="A1:C31"/>
  <sheetViews>
    <sheetView topLeftCell="A9" workbookViewId="0">
      <selection activeCell="B1" sqref="B1"/>
    </sheetView>
  </sheetViews>
  <sheetFormatPr defaultRowHeight="14.5" x14ac:dyDescent="0.35"/>
  <cols>
    <col min="2" max="2" width="14.26953125" bestFit="1" customWidth="1"/>
  </cols>
  <sheetData>
    <row r="1" spans="1:3" x14ac:dyDescent="0.35">
      <c r="A1" t="s">
        <v>4</v>
      </c>
      <c r="B1" t="s">
        <v>325</v>
      </c>
      <c r="C1" t="s">
        <v>324</v>
      </c>
    </row>
    <row r="2" spans="1:3" x14ac:dyDescent="0.35">
      <c r="A2" s="24" t="s">
        <v>40</v>
      </c>
      <c r="B2" s="24">
        <v>53.83</v>
      </c>
      <c r="C2">
        <v>38</v>
      </c>
    </row>
    <row r="3" spans="1:3" x14ac:dyDescent="0.35">
      <c r="A3" s="24" t="s">
        <v>41</v>
      </c>
      <c r="B3" s="24">
        <v>46.9</v>
      </c>
      <c r="C3">
        <v>35</v>
      </c>
    </row>
    <row r="4" spans="1:3" x14ac:dyDescent="0.35">
      <c r="A4" s="24" t="s">
        <v>42</v>
      </c>
      <c r="B4" s="24">
        <v>37.33</v>
      </c>
      <c r="C4">
        <v>16</v>
      </c>
    </row>
    <row r="5" spans="1:3" x14ac:dyDescent="0.35">
      <c r="A5" s="24" t="s">
        <v>43</v>
      </c>
      <c r="B5" s="24">
        <v>36.5</v>
      </c>
      <c r="C5">
        <v>26</v>
      </c>
    </row>
    <row r="6" spans="1:3" x14ac:dyDescent="0.35">
      <c r="A6" s="24" t="s">
        <v>44</v>
      </c>
      <c r="B6" s="24">
        <v>39.67</v>
      </c>
      <c r="C6">
        <v>23</v>
      </c>
    </row>
    <row r="7" spans="1:3" x14ac:dyDescent="0.35">
      <c r="A7" s="24" t="s">
        <v>45</v>
      </c>
      <c r="B7" s="24">
        <v>39.770000000000003</v>
      </c>
      <c r="C7">
        <v>22</v>
      </c>
    </row>
    <row r="8" spans="1:3" x14ac:dyDescent="0.35">
      <c r="A8" s="24" t="s">
        <v>46</v>
      </c>
      <c r="B8" s="24">
        <v>29.33</v>
      </c>
      <c r="C8">
        <v>13</v>
      </c>
    </row>
    <row r="9" spans="1:3" x14ac:dyDescent="0.35">
      <c r="A9" s="24" t="s">
        <v>47</v>
      </c>
      <c r="B9" s="24">
        <v>36.33</v>
      </c>
      <c r="C9">
        <v>20</v>
      </c>
    </row>
    <row r="10" spans="1:3" x14ac:dyDescent="0.35">
      <c r="A10" s="24" t="s">
        <v>48</v>
      </c>
      <c r="B10" s="24">
        <v>36.47</v>
      </c>
      <c r="C10">
        <v>12</v>
      </c>
    </row>
    <row r="11" spans="1:3" x14ac:dyDescent="0.35">
      <c r="A11" s="24" t="s">
        <v>49</v>
      </c>
      <c r="B11" s="24">
        <v>41.87</v>
      </c>
      <c r="C11">
        <v>25</v>
      </c>
    </row>
    <row r="12" spans="1:3" x14ac:dyDescent="0.35">
      <c r="A12" s="24" t="s">
        <v>50</v>
      </c>
      <c r="B12" s="24">
        <v>33.43</v>
      </c>
      <c r="C12">
        <v>20</v>
      </c>
    </row>
    <row r="13" spans="1:3" x14ac:dyDescent="0.35">
      <c r="A13" s="24" t="s">
        <v>51</v>
      </c>
      <c r="B13" s="24">
        <v>31.63</v>
      </c>
      <c r="C13">
        <v>26</v>
      </c>
    </row>
    <row r="14" spans="1:3" x14ac:dyDescent="0.35">
      <c r="A14" s="24" t="s">
        <v>52</v>
      </c>
      <c r="B14" s="24">
        <v>29.5</v>
      </c>
      <c r="C14">
        <v>20</v>
      </c>
    </row>
    <row r="15" spans="1:3" x14ac:dyDescent="0.35">
      <c r="A15" s="24" t="s">
        <v>53</v>
      </c>
      <c r="B15" s="24">
        <v>36.57</v>
      </c>
      <c r="C15">
        <v>16</v>
      </c>
    </row>
    <row r="16" spans="1:3" x14ac:dyDescent="0.35">
      <c r="A16" s="24" t="s">
        <v>54</v>
      </c>
      <c r="B16" s="24">
        <v>32.43</v>
      </c>
      <c r="C16">
        <v>10</v>
      </c>
    </row>
    <row r="17" spans="1:3" x14ac:dyDescent="0.35">
      <c r="A17" s="24" t="s">
        <v>55</v>
      </c>
      <c r="B17" s="24">
        <v>29.43</v>
      </c>
      <c r="C17">
        <v>23</v>
      </c>
    </row>
    <row r="18" spans="1:3" x14ac:dyDescent="0.35">
      <c r="A18" s="24" t="s">
        <v>56</v>
      </c>
      <c r="B18" s="24">
        <v>37</v>
      </c>
      <c r="C18">
        <v>18</v>
      </c>
    </row>
    <row r="19" spans="1:3" x14ac:dyDescent="0.35">
      <c r="A19" s="24" t="s">
        <v>57</v>
      </c>
      <c r="B19" s="24">
        <v>25.37</v>
      </c>
      <c r="C19">
        <v>28</v>
      </c>
    </row>
    <row r="20" spans="1:3" x14ac:dyDescent="0.35">
      <c r="A20" s="24" t="s">
        <v>58</v>
      </c>
      <c r="B20" s="24">
        <v>31.97</v>
      </c>
      <c r="C20">
        <v>13</v>
      </c>
    </row>
    <row r="21" spans="1:3" x14ac:dyDescent="0.35">
      <c r="A21" s="24" t="s">
        <v>69</v>
      </c>
      <c r="B21" s="24">
        <v>32.47</v>
      </c>
      <c r="C21">
        <v>30</v>
      </c>
    </row>
    <row r="22" spans="1:3" x14ac:dyDescent="0.35">
      <c r="A22" s="24" t="s">
        <v>59</v>
      </c>
      <c r="B22" s="24">
        <v>22.77</v>
      </c>
      <c r="C22">
        <v>18</v>
      </c>
    </row>
    <row r="23" spans="1:3" x14ac:dyDescent="0.35">
      <c r="A23" s="24" t="s">
        <v>60</v>
      </c>
      <c r="B23" s="24">
        <v>24.27</v>
      </c>
      <c r="C23">
        <v>10</v>
      </c>
    </row>
    <row r="24" spans="1:3" x14ac:dyDescent="0.35">
      <c r="A24" s="24" t="s">
        <v>61</v>
      </c>
      <c r="B24" s="24">
        <v>30.4</v>
      </c>
      <c r="C24">
        <v>11</v>
      </c>
    </row>
    <row r="25" spans="1:3" x14ac:dyDescent="0.35">
      <c r="A25" s="24" t="s">
        <v>62</v>
      </c>
      <c r="B25" s="24">
        <v>29.53</v>
      </c>
      <c r="C25">
        <v>22</v>
      </c>
    </row>
    <row r="26" spans="1:3" x14ac:dyDescent="0.35">
      <c r="A26" s="24" t="s">
        <v>63</v>
      </c>
      <c r="B26" s="24">
        <v>30.83</v>
      </c>
      <c r="C26">
        <v>13</v>
      </c>
    </row>
    <row r="27" spans="1:3" x14ac:dyDescent="0.35">
      <c r="A27" s="24" t="s">
        <v>64</v>
      </c>
      <c r="B27" s="24">
        <v>29.5</v>
      </c>
      <c r="C27">
        <v>17</v>
      </c>
    </row>
    <row r="28" spans="1:3" x14ac:dyDescent="0.35">
      <c r="A28" s="24" t="s">
        <v>65</v>
      </c>
      <c r="B28" s="24">
        <v>22.93</v>
      </c>
      <c r="C28">
        <v>20</v>
      </c>
    </row>
    <row r="29" spans="1:3" x14ac:dyDescent="0.35">
      <c r="A29" s="24" t="s">
        <v>66</v>
      </c>
      <c r="B29" s="24">
        <v>27.8</v>
      </c>
      <c r="C29">
        <v>3</v>
      </c>
    </row>
    <row r="30" spans="1:3" x14ac:dyDescent="0.35">
      <c r="A30" s="24" t="s">
        <v>67</v>
      </c>
      <c r="B30" s="24">
        <v>24.37</v>
      </c>
      <c r="C30">
        <v>9</v>
      </c>
    </row>
    <row r="31" spans="1:3" x14ac:dyDescent="0.35">
      <c r="A31" s="24" t="s">
        <v>68</v>
      </c>
      <c r="B31" s="24">
        <v>19.670000000000002</v>
      </c>
      <c r="C3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A95-0384-4FFC-9597-0B9CA418CE63}">
  <dimension ref="A1:O32"/>
  <sheetViews>
    <sheetView workbookViewId="0">
      <selection activeCell="A2" sqref="A2:XFD2"/>
    </sheetView>
  </sheetViews>
  <sheetFormatPr defaultRowHeight="14.5" x14ac:dyDescent="0.35"/>
  <cols>
    <col min="2" max="2" width="11.6328125" bestFit="1" customWidth="1"/>
    <col min="13" max="13" width="12.6328125" customWidth="1"/>
  </cols>
  <sheetData>
    <row r="1" spans="1:15" ht="15" customHeight="1" x14ac:dyDescent="0.35">
      <c r="A1" s="219" t="s">
        <v>176</v>
      </c>
      <c r="B1" s="216" t="s">
        <v>4</v>
      </c>
      <c r="C1" s="216" t="s">
        <v>177</v>
      </c>
      <c r="D1" s="216" t="s">
        <v>178</v>
      </c>
      <c r="E1" s="216" t="s">
        <v>179</v>
      </c>
      <c r="F1" s="216" t="s">
        <v>180</v>
      </c>
      <c r="G1" s="216" t="s">
        <v>181</v>
      </c>
      <c r="H1" s="216" t="s">
        <v>182</v>
      </c>
      <c r="I1" s="216" t="s">
        <v>183</v>
      </c>
      <c r="J1" s="216" t="s">
        <v>184</v>
      </c>
      <c r="K1" s="216" t="s">
        <v>185</v>
      </c>
      <c r="L1" s="217" t="s">
        <v>187</v>
      </c>
      <c r="M1" s="218" t="s">
        <v>8</v>
      </c>
      <c r="N1" s="214" t="s">
        <v>186</v>
      </c>
      <c r="O1" s="215" t="s">
        <v>104</v>
      </c>
    </row>
    <row r="2" spans="1:15" x14ac:dyDescent="0.35">
      <c r="A2" s="5">
        <v>1</v>
      </c>
      <c r="B2" s="4" t="s">
        <v>75</v>
      </c>
      <c r="C2" s="210">
        <v>21</v>
      </c>
      <c r="D2" s="210">
        <v>24</v>
      </c>
      <c r="E2" s="210">
        <v>1</v>
      </c>
      <c r="F2" s="210">
        <v>9</v>
      </c>
      <c r="G2" s="210">
        <v>19</v>
      </c>
      <c r="H2" s="210">
        <v>12</v>
      </c>
      <c r="I2" s="210">
        <v>10</v>
      </c>
      <c r="J2" s="210">
        <v>-5</v>
      </c>
      <c r="K2" s="210">
        <v>13</v>
      </c>
      <c r="L2" s="210">
        <v>7</v>
      </c>
      <c r="M2" s="210">
        <v>17</v>
      </c>
      <c r="N2" s="210">
        <v>1</v>
      </c>
      <c r="O2" s="211">
        <v>4</v>
      </c>
    </row>
    <row r="3" spans="1:15" x14ac:dyDescent="0.35">
      <c r="A3" s="5">
        <v>2</v>
      </c>
      <c r="B3" s="4" t="s">
        <v>74</v>
      </c>
      <c r="C3" s="210">
        <v>2</v>
      </c>
      <c r="D3" s="210">
        <v>10</v>
      </c>
      <c r="E3" s="210">
        <v>-1</v>
      </c>
      <c r="F3" s="210">
        <v>5</v>
      </c>
      <c r="G3" s="210">
        <v>7</v>
      </c>
      <c r="H3" s="210">
        <v>-1</v>
      </c>
      <c r="I3" s="210">
        <v>-2</v>
      </c>
      <c r="J3" s="210">
        <v>0</v>
      </c>
      <c r="K3" s="210">
        <v>16</v>
      </c>
      <c r="L3" s="210">
        <v>7</v>
      </c>
      <c r="M3" s="210">
        <v>38</v>
      </c>
      <c r="N3" s="210">
        <v>5</v>
      </c>
      <c r="O3" s="211">
        <v>86</v>
      </c>
    </row>
    <row r="4" spans="1:15" x14ac:dyDescent="0.35">
      <c r="A4" s="5">
        <v>3</v>
      </c>
      <c r="B4" s="4" t="s">
        <v>99</v>
      </c>
      <c r="C4" s="210">
        <v>-1</v>
      </c>
      <c r="D4" s="210">
        <v>6</v>
      </c>
      <c r="E4" s="210">
        <v>1</v>
      </c>
      <c r="F4" s="210">
        <v>12</v>
      </c>
      <c r="G4" s="210">
        <v>-1</v>
      </c>
      <c r="H4" s="210">
        <v>7</v>
      </c>
      <c r="I4" s="210">
        <v>21</v>
      </c>
      <c r="J4" s="210">
        <v>12</v>
      </c>
      <c r="K4" s="210">
        <v>0</v>
      </c>
      <c r="L4" s="210">
        <v>8</v>
      </c>
      <c r="M4" s="210">
        <v>9</v>
      </c>
      <c r="N4" s="210">
        <v>5</v>
      </c>
      <c r="O4" s="211">
        <v>79</v>
      </c>
    </row>
    <row r="5" spans="1:15" x14ac:dyDescent="0.35">
      <c r="A5" s="5">
        <v>4</v>
      </c>
      <c r="B5" s="4" t="s">
        <v>81</v>
      </c>
      <c r="C5" s="210">
        <v>-6</v>
      </c>
      <c r="D5" s="210">
        <v>-3</v>
      </c>
      <c r="E5" s="210">
        <v>-1</v>
      </c>
      <c r="F5" s="210">
        <v>-9</v>
      </c>
      <c r="G5" s="210">
        <v>-4</v>
      </c>
      <c r="H5" s="210">
        <v>15</v>
      </c>
      <c r="I5" s="210">
        <v>7</v>
      </c>
      <c r="J5" s="210">
        <v>10</v>
      </c>
      <c r="K5" s="210">
        <v>14</v>
      </c>
      <c r="L5" s="210">
        <v>-2</v>
      </c>
      <c r="M5" s="210">
        <v>35</v>
      </c>
      <c r="N5" s="210">
        <v>11</v>
      </c>
      <c r="O5" s="211">
        <v>67</v>
      </c>
    </row>
    <row r="6" spans="1:15" x14ac:dyDescent="0.35">
      <c r="A6" s="5">
        <v>4</v>
      </c>
      <c r="B6" s="4" t="s">
        <v>175</v>
      </c>
      <c r="C6" s="210">
        <v>8</v>
      </c>
      <c r="D6" s="210">
        <v>-2</v>
      </c>
      <c r="E6" s="210">
        <v>2</v>
      </c>
      <c r="F6" s="210">
        <v>7</v>
      </c>
      <c r="G6" s="210">
        <v>27</v>
      </c>
      <c r="H6" s="210">
        <v>14</v>
      </c>
      <c r="I6" s="210">
        <v>-3</v>
      </c>
      <c r="J6" s="210">
        <v>6</v>
      </c>
      <c r="K6" s="210">
        <v>-3</v>
      </c>
      <c r="L6" s="210">
        <v>-2</v>
      </c>
      <c r="M6" s="210">
        <v>18</v>
      </c>
      <c r="N6" s="210">
        <v>-5</v>
      </c>
      <c r="O6" s="211">
        <v>67</v>
      </c>
    </row>
    <row r="7" spans="1:15" x14ac:dyDescent="0.35">
      <c r="A7" s="5">
        <v>6</v>
      </c>
      <c r="B7" s="4" t="s">
        <v>94</v>
      </c>
      <c r="C7" s="210">
        <v>6</v>
      </c>
      <c r="D7" s="210">
        <v>-10</v>
      </c>
      <c r="E7" s="210">
        <v>17</v>
      </c>
      <c r="F7" s="210">
        <v>-6</v>
      </c>
      <c r="G7" s="210">
        <v>-4</v>
      </c>
      <c r="H7" s="210">
        <v>-9</v>
      </c>
      <c r="I7" s="210">
        <v>1</v>
      </c>
      <c r="J7" s="210">
        <v>13</v>
      </c>
      <c r="K7" s="210">
        <v>15</v>
      </c>
      <c r="L7" s="210">
        <v>-4</v>
      </c>
      <c r="M7" s="210">
        <v>30</v>
      </c>
      <c r="N7" s="210">
        <v>7</v>
      </c>
      <c r="O7" s="211">
        <v>56</v>
      </c>
    </row>
    <row r="8" spans="1:15" x14ac:dyDescent="0.35">
      <c r="A8" s="5">
        <v>7</v>
      </c>
      <c r="B8" s="4" t="s">
        <v>90</v>
      </c>
      <c r="C8" s="210">
        <v>3</v>
      </c>
      <c r="D8" s="210">
        <v>4</v>
      </c>
      <c r="E8" s="210">
        <v>-7</v>
      </c>
      <c r="F8" s="210">
        <v>-1</v>
      </c>
      <c r="G8" s="210">
        <v>7</v>
      </c>
      <c r="H8" s="210">
        <v>7</v>
      </c>
      <c r="I8" s="210">
        <v>4</v>
      </c>
      <c r="J8" s="210">
        <v>8</v>
      </c>
      <c r="K8" s="210">
        <v>1</v>
      </c>
      <c r="L8" s="210">
        <v>8</v>
      </c>
      <c r="M8" s="210">
        <v>22</v>
      </c>
      <c r="N8" s="210">
        <v>-3</v>
      </c>
      <c r="O8" s="211">
        <v>53</v>
      </c>
    </row>
    <row r="9" spans="1:15" x14ac:dyDescent="0.35">
      <c r="A9" s="5">
        <v>8</v>
      </c>
      <c r="B9" s="4" t="s">
        <v>83</v>
      </c>
      <c r="C9" s="210">
        <v>-2</v>
      </c>
      <c r="D9" s="210">
        <v>15</v>
      </c>
      <c r="E9" s="210">
        <v>6</v>
      </c>
      <c r="F9" s="210">
        <v>2</v>
      </c>
      <c r="G9" s="210">
        <v>1</v>
      </c>
      <c r="H9" s="210">
        <v>-15</v>
      </c>
      <c r="I9" s="210">
        <v>4</v>
      </c>
      <c r="J9" s="210">
        <v>-5</v>
      </c>
      <c r="K9" s="210">
        <v>-5</v>
      </c>
      <c r="L9" s="210">
        <v>4</v>
      </c>
      <c r="M9" s="210">
        <v>16</v>
      </c>
      <c r="N9" s="210">
        <v>23</v>
      </c>
      <c r="O9" s="211">
        <v>44</v>
      </c>
    </row>
    <row r="10" spans="1:15" x14ac:dyDescent="0.35">
      <c r="A10" s="5">
        <v>9</v>
      </c>
      <c r="B10" s="4" t="s">
        <v>100</v>
      </c>
      <c r="C10" s="210">
        <v>1</v>
      </c>
      <c r="D10" s="210">
        <v>8</v>
      </c>
      <c r="E10" s="210">
        <v>4</v>
      </c>
      <c r="F10" s="210">
        <v>-9</v>
      </c>
      <c r="G10" s="210">
        <v>8</v>
      </c>
      <c r="H10" s="210">
        <v>12</v>
      </c>
      <c r="I10" s="210">
        <v>-5</v>
      </c>
      <c r="J10" s="210">
        <v>5</v>
      </c>
      <c r="K10" s="210">
        <v>6</v>
      </c>
      <c r="L10" s="210">
        <v>-1</v>
      </c>
      <c r="M10" s="210">
        <v>3</v>
      </c>
      <c r="N10" s="210">
        <v>4</v>
      </c>
      <c r="O10" s="211">
        <v>36</v>
      </c>
    </row>
    <row r="11" spans="1:15" x14ac:dyDescent="0.35">
      <c r="A11" s="5">
        <v>9</v>
      </c>
      <c r="B11" s="4" t="s">
        <v>92</v>
      </c>
      <c r="C11" s="210">
        <v>-5</v>
      </c>
      <c r="D11" s="210">
        <v>10</v>
      </c>
      <c r="E11" s="210">
        <v>4</v>
      </c>
      <c r="F11" s="210">
        <v>0</v>
      </c>
      <c r="G11" s="210">
        <v>-4</v>
      </c>
      <c r="H11" s="210">
        <v>-9</v>
      </c>
      <c r="I11" s="210">
        <v>-9</v>
      </c>
      <c r="J11" s="210">
        <v>3</v>
      </c>
      <c r="K11" s="210">
        <v>14</v>
      </c>
      <c r="L11" s="210">
        <v>-3</v>
      </c>
      <c r="M11" s="210">
        <v>26</v>
      </c>
      <c r="N11" s="210">
        <v>9</v>
      </c>
      <c r="O11" s="211">
        <v>36</v>
      </c>
    </row>
    <row r="12" spans="1:15" x14ac:dyDescent="0.35">
      <c r="A12" s="5">
        <v>11</v>
      </c>
      <c r="B12" s="4" t="s">
        <v>80</v>
      </c>
      <c r="C12" s="210">
        <v>2</v>
      </c>
      <c r="D12" s="210">
        <v>2</v>
      </c>
      <c r="E12" s="210">
        <v>6</v>
      </c>
      <c r="F12" s="210">
        <v>-5</v>
      </c>
      <c r="G12" s="210">
        <v>5</v>
      </c>
      <c r="H12" s="210">
        <v>9</v>
      </c>
      <c r="I12" s="210">
        <v>-15</v>
      </c>
      <c r="J12" s="210">
        <v>8</v>
      </c>
      <c r="K12" s="210">
        <v>-4</v>
      </c>
      <c r="L12" s="210">
        <v>-4</v>
      </c>
      <c r="M12" s="210">
        <v>28</v>
      </c>
      <c r="N12" s="210">
        <v>-1</v>
      </c>
      <c r="O12" s="211">
        <v>31</v>
      </c>
    </row>
    <row r="13" spans="1:15" x14ac:dyDescent="0.35">
      <c r="A13" s="5">
        <v>12</v>
      </c>
      <c r="B13" s="4" t="s">
        <v>87</v>
      </c>
      <c r="C13" s="210">
        <v>-8</v>
      </c>
      <c r="D13" s="210">
        <v>5</v>
      </c>
      <c r="E13" s="210">
        <v>-5</v>
      </c>
      <c r="F13" s="210">
        <v>-4</v>
      </c>
      <c r="G13" s="210">
        <v>3</v>
      </c>
      <c r="H13" s="210">
        <v>1</v>
      </c>
      <c r="I13" s="210">
        <v>7</v>
      </c>
      <c r="J13" s="210">
        <v>10</v>
      </c>
      <c r="K13" s="210">
        <v>10</v>
      </c>
      <c r="L13" s="210">
        <v>0</v>
      </c>
      <c r="M13" s="210">
        <v>23</v>
      </c>
      <c r="N13" s="210">
        <v>-15</v>
      </c>
      <c r="O13" s="211">
        <v>27</v>
      </c>
    </row>
    <row r="14" spans="1:15" x14ac:dyDescent="0.35">
      <c r="A14" s="5">
        <v>13</v>
      </c>
      <c r="B14" s="4" t="s">
        <v>89</v>
      </c>
      <c r="C14" s="210">
        <v>-1</v>
      </c>
      <c r="D14" s="210">
        <v>-17</v>
      </c>
      <c r="E14" s="210">
        <v>-2</v>
      </c>
      <c r="F14" s="210">
        <v>8</v>
      </c>
      <c r="G14" s="210">
        <v>-5</v>
      </c>
      <c r="H14" s="210">
        <v>-4</v>
      </c>
      <c r="I14" s="210">
        <v>21</v>
      </c>
      <c r="J14" s="210">
        <v>1</v>
      </c>
      <c r="K14" s="210">
        <v>-2</v>
      </c>
      <c r="L14" s="210">
        <v>-4</v>
      </c>
      <c r="M14" s="210">
        <v>25</v>
      </c>
      <c r="N14" s="210">
        <v>5</v>
      </c>
      <c r="O14" s="211">
        <v>25</v>
      </c>
    </row>
    <row r="15" spans="1:15" x14ac:dyDescent="0.35">
      <c r="A15" s="5">
        <v>14</v>
      </c>
      <c r="B15" s="4" t="s">
        <v>96</v>
      </c>
      <c r="C15" s="210">
        <v>-10</v>
      </c>
      <c r="D15" s="210">
        <v>2</v>
      </c>
      <c r="E15" s="210">
        <v>-7</v>
      </c>
      <c r="F15" s="210">
        <v>5</v>
      </c>
      <c r="G15" s="210">
        <v>-4</v>
      </c>
      <c r="H15" s="210">
        <v>11</v>
      </c>
      <c r="I15" s="210">
        <v>-3</v>
      </c>
      <c r="J15" s="210">
        <v>-1</v>
      </c>
      <c r="K15" s="210">
        <v>9</v>
      </c>
      <c r="L15" s="210">
        <v>1</v>
      </c>
      <c r="M15" s="210">
        <v>11</v>
      </c>
      <c r="N15" s="210">
        <v>1</v>
      </c>
      <c r="O15" s="211">
        <v>15</v>
      </c>
    </row>
    <row r="16" spans="1:15" x14ac:dyDescent="0.35">
      <c r="A16" s="5">
        <v>15</v>
      </c>
      <c r="B16" s="4" t="s">
        <v>73</v>
      </c>
      <c r="C16" s="210">
        <v>12</v>
      </c>
      <c r="D16" s="210">
        <v>12</v>
      </c>
      <c r="E16" s="210">
        <v>-5</v>
      </c>
      <c r="F16" s="210">
        <v>1</v>
      </c>
      <c r="G16" s="210">
        <v>-14</v>
      </c>
      <c r="H16" s="210">
        <v>-3</v>
      </c>
      <c r="I16" s="210">
        <v>-4</v>
      </c>
      <c r="J16" s="210">
        <v>-2</v>
      </c>
      <c r="K16" s="210">
        <v>1</v>
      </c>
      <c r="L16" s="210">
        <v>8</v>
      </c>
      <c r="M16" s="210">
        <v>12</v>
      </c>
      <c r="N16" s="210">
        <v>-5</v>
      </c>
      <c r="O16" s="211">
        <v>13</v>
      </c>
    </row>
    <row r="17" spans="1:15" x14ac:dyDescent="0.35">
      <c r="A17" s="5">
        <v>16</v>
      </c>
      <c r="B17" s="4" t="s">
        <v>97</v>
      </c>
      <c r="C17" s="210">
        <v>-5</v>
      </c>
      <c r="D17" s="210">
        <v>-6</v>
      </c>
      <c r="E17" s="210">
        <v>-2</v>
      </c>
      <c r="F17" s="210">
        <v>13</v>
      </c>
      <c r="G17" s="210">
        <v>-12</v>
      </c>
      <c r="H17" s="210">
        <v>21</v>
      </c>
      <c r="I17" s="210">
        <v>2</v>
      </c>
      <c r="J17" s="210">
        <v>-3</v>
      </c>
      <c r="K17" s="210">
        <v>0</v>
      </c>
      <c r="L17" s="210">
        <v>-3</v>
      </c>
      <c r="M17" s="210">
        <v>22</v>
      </c>
      <c r="N17" s="210">
        <v>-16</v>
      </c>
      <c r="O17" s="211">
        <v>11</v>
      </c>
    </row>
    <row r="18" spans="1:15" x14ac:dyDescent="0.35">
      <c r="A18" s="5">
        <v>17</v>
      </c>
      <c r="B18" s="4" t="s">
        <v>82</v>
      </c>
      <c r="C18" s="210">
        <v>-8</v>
      </c>
      <c r="D18" s="210">
        <v>-9</v>
      </c>
      <c r="E18" s="210">
        <v>-3</v>
      </c>
      <c r="F18" s="210">
        <v>3</v>
      </c>
      <c r="G18" s="210">
        <v>-6</v>
      </c>
      <c r="H18" s="210">
        <v>12</v>
      </c>
      <c r="I18" s="210">
        <v>6</v>
      </c>
      <c r="J18" s="210">
        <v>-4</v>
      </c>
      <c r="K18" s="210">
        <v>-7</v>
      </c>
      <c r="L18" s="210">
        <v>4</v>
      </c>
      <c r="M18" s="210">
        <v>20</v>
      </c>
      <c r="N18" s="210">
        <v>2</v>
      </c>
      <c r="O18" s="211">
        <v>10</v>
      </c>
    </row>
    <row r="19" spans="1:15" x14ac:dyDescent="0.35">
      <c r="A19" s="5">
        <v>18</v>
      </c>
      <c r="B19" s="4" t="s">
        <v>88</v>
      </c>
      <c r="C19" s="210">
        <v>-1</v>
      </c>
      <c r="D19" s="210">
        <v>-12</v>
      </c>
      <c r="E19" s="210">
        <v>10</v>
      </c>
      <c r="F19" s="210">
        <v>17</v>
      </c>
      <c r="G19" s="210">
        <v>12</v>
      </c>
      <c r="H19" s="210">
        <v>-12</v>
      </c>
      <c r="I19" s="210">
        <v>15</v>
      </c>
      <c r="J19" s="210">
        <v>-16</v>
      </c>
      <c r="K19" s="210">
        <v>-15</v>
      </c>
      <c r="L19" s="210">
        <v>-4</v>
      </c>
      <c r="M19" s="210">
        <v>11</v>
      </c>
      <c r="N19" s="210">
        <v>4</v>
      </c>
      <c r="O19" s="211">
        <v>9</v>
      </c>
    </row>
    <row r="20" spans="1:15" x14ac:dyDescent="0.35">
      <c r="A20" s="5">
        <v>19</v>
      </c>
      <c r="B20" s="4" t="s">
        <v>77</v>
      </c>
      <c r="C20" s="210">
        <v>-14</v>
      </c>
      <c r="D20" s="210">
        <v>-11</v>
      </c>
      <c r="E20" s="210">
        <v>-7</v>
      </c>
      <c r="F20" s="210">
        <v>2</v>
      </c>
      <c r="G20" s="210">
        <v>-1</v>
      </c>
      <c r="H20" s="210">
        <v>10</v>
      </c>
      <c r="I20" s="210">
        <v>1</v>
      </c>
      <c r="J20" s="210">
        <v>8</v>
      </c>
      <c r="K20" s="210">
        <v>7</v>
      </c>
      <c r="L20" s="210">
        <v>-5</v>
      </c>
      <c r="M20" s="210">
        <v>20</v>
      </c>
      <c r="N20" s="210">
        <v>-2</v>
      </c>
      <c r="O20" s="211">
        <v>8</v>
      </c>
    </row>
    <row r="21" spans="1:15" x14ac:dyDescent="0.35">
      <c r="A21" s="5">
        <v>20</v>
      </c>
      <c r="B21" s="4" t="s">
        <v>86</v>
      </c>
      <c r="C21" s="210">
        <v>-7</v>
      </c>
      <c r="D21" s="210">
        <v>5</v>
      </c>
      <c r="E21" s="210">
        <v>-8</v>
      </c>
      <c r="F21" s="210">
        <v>10</v>
      </c>
      <c r="G21" s="210">
        <v>0</v>
      </c>
      <c r="H21" s="210">
        <v>-5</v>
      </c>
      <c r="I21" s="210">
        <v>-4</v>
      </c>
      <c r="J21" s="210">
        <v>3</v>
      </c>
      <c r="K21" s="210">
        <v>-2</v>
      </c>
      <c r="L21" s="210">
        <v>0</v>
      </c>
      <c r="M21" s="210">
        <v>20</v>
      </c>
      <c r="N21" s="210">
        <v>-7</v>
      </c>
      <c r="O21" s="211">
        <v>5</v>
      </c>
    </row>
    <row r="22" spans="1:15" x14ac:dyDescent="0.35">
      <c r="A22" s="5">
        <v>21</v>
      </c>
      <c r="B22" s="4" t="s">
        <v>85</v>
      </c>
      <c r="C22" s="210">
        <v>-1</v>
      </c>
      <c r="D22" s="210">
        <v>-2</v>
      </c>
      <c r="E22" s="210">
        <v>6</v>
      </c>
      <c r="F22" s="210">
        <v>-4</v>
      </c>
      <c r="G22" s="210">
        <v>-6</v>
      </c>
      <c r="H22" s="210">
        <v>11</v>
      </c>
      <c r="I22" s="210">
        <v>11</v>
      </c>
      <c r="J22" s="210">
        <v>-19</v>
      </c>
      <c r="K22" s="210">
        <v>-9</v>
      </c>
      <c r="L22" s="210">
        <v>1</v>
      </c>
      <c r="M22" s="210">
        <v>16</v>
      </c>
      <c r="N22" s="210">
        <v>0</v>
      </c>
      <c r="O22" s="211">
        <v>4</v>
      </c>
    </row>
    <row r="23" spans="1:15" x14ac:dyDescent="0.35">
      <c r="A23" s="5">
        <v>22</v>
      </c>
      <c r="B23" s="4" t="s">
        <v>98</v>
      </c>
      <c r="C23" s="210">
        <v>-1</v>
      </c>
      <c r="D23" s="210">
        <v>7</v>
      </c>
      <c r="E23" s="210">
        <v>-1</v>
      </c>
      <c r="F23" s="210">
        <v>-8</v>
      </c>
      <c r="G23" s="210">
        <v>22</v>
      </c>
      <c r="H23" s="210">
        <v>-3</v>
      </c>
      <c r="I23" s="210">
        <v>3</v>
      </c>
      <c r="J23" s="210">
        <v>-16</v>
      </c>
      <c r="K23" s="210">
        <v>-20</v>
      </c>
      <c r="L23" s="210">
        <v>-3</v>
      </c>
      <c r="M23" s="210">
        <v>18</v>
      </c>
      <c r="N23" s="210">
        <v>4</v>
      </c>
      <c r="O23" s="211">
        <v>2</v>
      </c>
    </row>
    <row r="24" spans="1:15" x14ac:dyDescent="0.35">
      <c r="A24" s="5">
        <v>23</v>
      </c>
      <c r="B24" s="4" t="s">
        <v>78</v>
      </c>
      <c r="C24" s="210">
        <v>-10</v>
      </c>
      <c r="D24" s="210">
        <v>-2</v>
      </c>
      <c r="E24" s="210">
        <v>-16</v>
      </c>
      <c r="F24" s="210">
        <v>10</v>
      </c>
      <c r="G24" s="210">
        <v>-8</v>
      </c>
      <c r="H24" s="210">
        <v>5</v>
      </c>
      <c r="I24" s="210">
        <v>-1</v>
      </c>
      <c r="J24" s="210">
        <v>-13</v>
      </c>
      <c r="K24" s="210">
        <v>-6</v>
      </c>
      <c r="L24" s="210">
        <v>1</v>
      </c>
      <c r="M24" s="210">
        <v>26</v>
      </c>
      <c r="N24" s="210">
        <v>10</v>
      </c>
      <c r="O24" s="211">
        <v>-4</v>
      </c>
    </row>
    <row r="25" spans="1:15" x14ac:dyDescent="0.35">
      <c r="A25" s="5">
        <v>24</v>
      </c>
      <c r="B25" s="4" t="s">
        <v>101</v>
      </c>
      <c r="C25" s="210">
        <v>-3</v>
      </c>
      <c r="D25" s="210">
        <v>0</v>
      </c>
      <c r="E25" s="210">
        <v>1</v>
      </c>
      <c r="F25" s="210">
        <v>-1</v>
      </c>
      <c r="G25" s="210">
        <v>-4</v>
      </c>
      <c r="H25" s="210">
        <v>-2</v>
      </c>
      <c r="I25" s="210">
        <v>-5</v>
      </c>
      <c r="J25" s="210">
        <v>-8</v>
      </c>
      <c r="K25" s="210">
        <v>-3</v>
      </c>
      <c r="L25" s="210">
        <v>-10</v>
      </c>
      <c r="M25" s="210">
        <v>10</v>
      </c>
      <c r="N25" s="210">
        <v>-4</v>
      </c>
      <c r="O25" s="211">
        <v>-29</v>
      </c>
    </row>
    <row r="26" spans="1:15" x14ac:dyDescent="0.35">
      <c r="A26" s="5">
        <v>25</v>
      </c>
      <c r="B26" s="4" t="s">
        <v>76</v>
      </c>
      <c r="C26" s="210">
        <v>17</v>
      </c>
      <c r="D26" s="210">
        <v>8</v>
      </c>
      <c r="E26" s="210">
        <v>3</v>
      </c>
      <c r="F26" s="210">
        <v>-1</v>
      </c>
      <c r="G26" s="210">
        <v>-15</v>
      </c>
      <c r="H26" s="210">
        <v>-13</v>
      </c>
      <c r="I26" s="210">
        <v>-14</v>
      </c>
      <c r="J26" s="210">
        <v>-6</v>
      </c>
      <c r="K26" s="210">
        <v>-9</v>
      </c>
      <c r="L26" s="210">
        <v>-3</v>
      </c>
      <c r="M26" s="210">
        <v>10</v>
      </c>
      <c r="N26" s="210">
        <v>-10</v>
      </c>
      <c r="O26" s="211">
        <v>-33</v>
      </c>
    </row>
    <row r="27" spans="1:15" x14ac:dyDescent="0.35">
      <c r="A27" s="5">
        <v>26</v>
      </c>
      <c r="B27" s="4" t="s">
        <v>93</v>
      </c>
      <c r="C27" s="210">
        <v>-12</v>
      </c>
      <c r="D27" s="210">
        <v>-5</v>
      </c>
      <c r="E27" s="210">
        <v>1</v>
      </c>
      <c r="F27" s="210">
        <v>-23</v>
      </c>
      <c r="G27" s="210">
        <v>-10</v>
      </c>
      <c r="H27" s="210">
        <v>2</v>
      </c>
      <c r="I27" s="210">
        <v>11</v>
      </c>
      <c r="J27" s="210">
        <v>-13</v>
      </c>
      <c r="K27" s="210">
        <v>12</v>
      </c>
      <c r="L27" s="210">
        <v>-3</v>
      </c>
      <c r="M27" s="210">
        <v>13</v>
      </c>
      <c r="N27" s="210">
        <v>-8</v>
      </c>
      <c r="O27" s="211">
        <v>-35</v>
      </c>
    </row>
    <row r="28" spans="1:15" x14ac:dyDescent="0.35">
      <c r="A28" s="5">
        <v>26</v>
      </c>
      <c r="B28" s="4" t="s">
        <v>79</v>
      </c>
      <c r="C28" s="210">
        <v>-12</v>
      </c>
      <c r="D28" s="210">
        <v>-2</v>
      </c>
      <c r="E28" s="210">
        <v>-2</v>
      </c>
      <c r="F28" s="210">
        <v>-1</v>
      </c>
      <c r="G28" s="210">
        <v>0</v>
      </c>
      <c r="H28" s="210">
        <v>-10</v>
      </c>
      <c r="I28" s="210">
        <v>-6</v>
      </c>
      <c r="J28" s="210">
        <v>-3</v>
      </c>
      <c r="K28" s="210">
        <v>-13</v>
      </c>
      <c r="L28" s="210">
        <v>1</v>
      </c>
      <c r="M28" s="210">
        <v>12</v>
      </c>
      <c r="N28" s="210">
        <v>1</v>
      </c>
      <c r="O28" s="211">
        <v>-35</v>
      </c>
    </row>
    <row r="29" spans="1:15" x14ac:dyDescent="0.35">
      <c r="A29" s="5">
        <v>28</v>
      </c>
      <c r="B29" s="4" t="s">
        <v>95</v>
      </c>
      <c r="C29" s="210">
        <v>3</v>
      </c>
      <c r="D29" s="210">
        <v>-23</v>
      </c>
      <c r="E29" s="210">
        <v>-1</v>
      </c>
      <c r="F29" s="210">
        <v>-10</v>
      </c>
      <c r="G29" s="210">
        <v>-9</v>
      </c>
      <c r="H29" s="210">
        <v>-18</v>
      </c>
      <c r="I29" s="210">
        <v>6</v>
      </c>
      <c r="J29" s="210">
        <v>16</v>
      </c>
      <c r="K29" s="210">
        <v>-6</v>
      </c>
      <c r="L29" s="210">
        <v>-3</v>
      </c>
      <c r="M29" s="210">
        <v>13</v>
      </c>
      <c r="N29" s="210">
        <v>-8</v>
      </c>
      <c r="O29" s="211">
        <v>-40</v>
      </c>
    </row>
    <row r="30" spans="1:15" x14ac:dyDescent="0.35">
      <c r="A30" s="5">
        <v>29</v>
      </c>
      <c r="B30" s="4" t="s">
        <v>91</v>
      </c>
      <c r="C30" s="210">
        <v>-5</v>
      </c>
      <c r="D30" s="210">
        <v>-12</v>
      </c>
      <c r="E30" s="210">
        <v>-1</v>
      </c>
      <c r="F30" s="210">
        <v>-6</v>
      </c>
      <c r="G30" s="210">
        <v>-2</v>
      </c>
      <c r="H30" s="210">
        <v>-34</v>
      </c>
      <c r="I30" s="210">
        <v>-7</v>
      </c>
      <c r="J30" s="210">
        <v>15</v>
      </c>
      <c r="K30" s="210">
        <v>-8</v>
      </c>
      <c r="L30" s="210">
        <v>5</v>
      </c>
      <c r="M30" s="210">
        <v>16</v>
      </c>
      <c r="N30" s="210">
        <v>-8</v>
      </c>
      <c r="O30" s="211">
        <v>-47</v>
      </c>
    </row>
    <row r="31" spans="1:15" ht="15" thickBot="1" x14ac:dyDescent="0.4">
      <c r="A31" s="6">
        <v>30</v>
      </c>
      <c r="B31" s="7" t="s">
        <v>84</v>
      </c>
      <c r="C31" s="212">
        <v>3</v>
      </c>
      <c r="D31" s="212">
        <v>-4</v>
      </c>
      <c r="E31" s="212">
        <v>0</v>
      </c>
      <c r="F31" s="212">
        <v>-21</v>
      </c>
      <c r="G31" s="212">
        <v>-10</v>
      </c>
      <c r="H31" s="212">
        <v>-6</v>
      </c>
      <c r="I31" s="212">
        <v>-27</v>
      </c>
      <c r="J31" s="212">
        <v>-9</v>
      </c>
      <c r="K31" s="212">
        <v>-8</v>
      </c>
      <c r="L31" s="212">
        <v>9</v>
      </c>
      <c r="M31" s="212">
        <v>23</v>
      </c>
      <c r="N31" s="212">
        <v>-3</v>
      </c>
      <c r="O31" s="213">
        <v>-53</v>
      </c>
    </row>
    <row r="32" spans="1:15" x14ac:dyDescent="0.35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7637-72F4-4AC5-9730-C1A14601A17F}">
  <dimension ref="A1:N201"/>
  <sheetViews>
    <sheetView workbookViewId="0">
      <selection activeCell="K1" sqref="K1"/>
    </sheetView>
  </sheetViews>
  <sheetFormatPr defaultRowHeight="13" x14ac:dyDescent="0.3"/>
  <cols>
    <col min="1" max="1" width="15.453125" style="241" bestFit="1" customWidth="1"/>
    <col min="2" max="7" width="8.7265625" style="241"/>
    <col min="8" max="8" width="17.1796875" style="241" bestFit="1" customWidth="1"/>
    <col min="9" max="16384" width="8.7265625" style="241"/>
  </cols>
  <sheetData>
    <row r="1" spans="1:14" x14ac:dyDescent="0.3">
      <c r="A1" s="237" t="s">
        <v>326</v>
      </c>
      <c r="B1" s="238" t="s">
        <v>103</v>
      </c>
      <c r="C1" s="239" t="s">
        <v>104</v>
      </c>
      <c r="D1" s="240" t="s">
        <v>105</v>
      </c>
      <c r="E1" s="240" t="s">
        <v>524</v>
      </c>
      <c r="F1" s="240" t="s">
        <v>525</v>
      </c>
      <c r="G1" s="240" t="s">
        <v>534</v>
      </c>
      <c r="H1" s="237" t="s">
        <v>333</v>
      </c>
      <c r="I1" s="238" t="s">
        <v>103</v>
      </c>
      <c r="J1" s="239" t="s">
        <v>104</v>
      </c>
      <c r="K1" s="240" t="s">
        <v>105</v>
      </c>
      <c r="L1" s="240" t="s">
        <v>526</v>
      </c>
      <c r="M1" s="240" t="s">
        <v>527</v>
      </c>
      <c r="N1" s="260" t="s">
        <v>535</v>
      </c>
    </row>
    <row r="2" spans="1:14" ht="13.5" thickBot="1" x14ac:dyDescent="0.35">
      <c r="A2" s="242" t="s">
        <v>121</v>
      </c>
      <c r="B2" s="243">
        <v>2553</v>
      </c>
      <c r="C2" s="242">
        <v>2878</v>
      </c>
      <c r="D2" s="242">
        <v>88.7</v>
      </c>
      <c r="E2" s="242">
        <v>0.224</v>
      </c>
      <c r="F2" s="242">
        <v>0.24299999999999999</v>
      </c>
      <c r="G2" s="242">
        <v>1</v>
      </c>
      <c r="H2" s="244" t="s">
        <v>206</v>
      </c>
      <c r="I2" s="245">
        <v>2122</v>
      </c>
      <c r="J2" s="246">
        <v>2776</v>
      </c>
      <c r="K2" s="246">
        <v>76.400000000000006</v>
      </c>
      <c r="L2" s="246">
        <v>0.245</v>
      </c>
      <c r="M2" s="246">
        <v>0.24199999999999999</v>
      </c>
      <c r="N2" s="241">
        <v>0</v>
      </c>
    </row>
    <row r="3" spans="1:14" ht="13.5" thickBot="1" x14ac:dyDescent="0.35">
      <c r="A3" s="242" t="s">
        <v>137</v>
      </c>
      <c r="B3" s="243">
        <v>2378</v>
      </c>
      <c r="C3" s="242">
        <v>2893</v>
      </c>
      <c r="D3" s="242">
        <v>82.2</v>
      </c>
      <c r="E3" s="242">
        <v>0.24199999999999999</v>
      </c>
      <c r="F3" s="242">
        <v>0.252</v>
      </c>
      <c r="G3" s="242">
        <v>1</v>
      </c>
      <c r="H3" s="244" t="s">
        <v>202</v>
      </c>
      <c r="I3" s="245">
        <v>2090</v>
      </c>
      <c r="J3" s="246">
        <v>2617</v>
      </c>
      <c r="K3" s="246">
        <v>79.900000000000006</v>
      </c>
      <c r="L3" s="246">
        <v>0.23499999999999999</v>
      </c>
      <c r="M3" s="246">
        <v>0.216</v>
      </c>
      <c r="N3" s="241">
        <v>0</v>
      </c>
    </row>
    <row r="4" spans="1:14" ht="13.5" thickBot="1" x14ac:dyDescent="0.35">
      <c r="A4" s="244" t="s">
        <v>166</v>
      </c>
      <c r="B4" s="245">
        <v>2240</v>
      </c>
      <c r="C4" s="246">
        <v>2546</v>
      </c>
      <c r="D4" s="246">
        <v>88</v>
      </c>
      <c r="E4" s="246">
        <v>0.27100000000000002</v>
      </c>
      <c r="F4" s="246">
        <v>0.27800000000000002</v>
      </c>
      <c r="G4" s="242">
        <v>1</v>
      </c>
      <c r="H4" s="244" t="s">
        <v>213</v>
      </c>
      <c r="I4" s="245">
        <v>1979</v>
      </c>
      <c r="J4" s="246">
        <v>2897</v>
      </c>
      <c r="K4" s="246">
        <v>68.3</v>
      </c>
      <c r="L4" s="246">
        <v>0.24399999999999999</v>
      </c>
      <c r="M4" s="246">
        <v>0.24</v>
      </c>
      <c r="N4" s="241">
        <v>0</v>
      </c>
    </row>
    <row r="5" spans="1:14" ht="13.5" thickBot="1" x14ac:dyDescent="0.35">
      <c r="A5" s="244" t="s">
        <v>131</v>
      </c>
      <c r="B5" s="245">
        <v>2143</v>
      </c>
      <c r="C5" s="246">
        <v>2436</v>
      </c>
      <c r="D5" s="246">
        <v>88</v>
      </c>
      <c r="E5" s="246">
        <v>0.20499999999999999</v>
      </c>
      <c r="F5" s="246">
        <v>0.216</v>
      </c>
      <c r="G5" s="242">
        <v>1</v>
      </c>
      <c r="H5" s="244" t="s">
        <v>211</v>
      </c>
      <c r="I5" s="245">
        <v>1713</v>
      </c>
      <c r="J5" s="246">
        <v>2248</v>
      </c>
      <c r="K5" s="246">
        <v>76.2</v>
      </c>
      <c r="L5" s="246">
        <v>0.219</v>
      </c>
      <c r="M5" s="246">
        <v>0.218</v>
      </c>
      <c r="N5" s="241">
        <v>0</v>
      </c>
    </row>
    <row r="6" spans="1:14" ht="13.5" thickBot="1" x14ac:dyDescent="0.35">
      <c r="A6" s="244" t="s">
        <v>116</v>
      </c>
      <c r="B6" s="245">
        <v>2119</v>
      </c>
      <c r="C6" s="246">
        <v>2268</v>
      </c>
      <c r="D6" s="246">
        <v>93.4</v>
      </c>
      <c r="E6" s="246">
        <v>0.23799999999999999</v>
      </c>
      <c r="F6" s="246">
        <v>0.28199999999999997</v>
      </c>
      <c r="G6" s="242">
        <v>1</v>
      </c>
      <c r="H6" s="244" t="s">
        <v>219</v>
      </c>
      <c r="I6" s="245">
        <v>1545</v>
      </c>
      <c r="J6" s="246">
        <v>2105</v>
      </c>
      <c r="K6" s="246">
        <v>73.400000000000006</v>
      </c>
      <c r="L6" s="246">
        <v>0.29199999999999998</v>
      </c>
      <c r="M6" s="246">
        <v>0.27900000000000003</v>
      </c>
      <c r="N6" s="241">
        <v>0</v>
      </c>
    </row>
    <row r="7" spans="1:14" ht="13.5" thickBot="1" x14ac:dyDescent="0.35">
      <c r="A7" s="244" t="s">
        <v>156</v>
      </c>
      <c r="B7" s="245">
        <v>2084</v>
      </c>
      <c r="C7" s="246">
        <v>2301</v>
      </c>
      <c r="D7" s="246">
        <v>90.6</v>
      </c>
      <c r="E7" s="246">
        <v>0.20599999999999999</v>
      </c>
      <c r="F7" s="246">
        <v>0.215</v>
      </c>
      <c r="G7" s="242">
        <v>1</v>
      </c>
      <c r="H7" s="244" t="s">
        <v>223</v>
      </c>
      <c r="I7" s="245">
        <v>1469</v>
      </c>
      <c r="J7" s="246">
        <v>2906</v>
      </c>
      <c r="K7" s="246">
        <v>50.6</v>
      </c>
      <c r="L7" s="246">
        <v>0.312</v>
      </c>
      <c r="M7" s="246">
        <v>0.312</v>
      </c>
      <c r="N7" s="241">
        <v>0</v>
      </c>
    </row>
    <row r="8" spans="1:14" ht="13.5" thickBot="1" x14ac:dyDescent="0.35">
      <c r="A8" s="244" t="s">
        <v>143</v>
      </c>
      <c r="B8" s="245">
        <v>2065</v>
      </c>
      <c r="C8" s="246">
        <v>2262</v>
      </c>
      <c r="D8" s="246">
        <v>91.3</v>
      </c>
      <c r="E8" s="246">
        <v>0.24199999999999999</v>
      </c>
      <c r="F8" s="246">
        <v>0.25600000000000001</v>
      </c>
      <c r="G8" s="242">
        <v>1</v>
      </c>
      <c r="H8" s="244" t="s">
        <v>221</v>
      </c>
      <c r="I8" s="245">
        <v>1464</v>
      </c>
      <c r="J8" s="246">
        <v>2521</v>
      </c>
      <c r="K8" s="246">
        <v>58.1</v>
      </c>
      <c r="L8" s="246">
        <v>0.25900000000000001</v>
      </c>
      <c r="M8" s="246">
        <v>0.26100000000000001</v>
      </c>
      <c r="N8" s="241">
        <v>0</v>
      </c>
    </row>
    <row r="9" spans="1:14" ht="13.5" thickBot="1" x14ac:dyDescent="0.35">
      <c r="A9" s="244" t="s">
        <v>114</v>
      </c>
      <c r="B9" s="245">
        <v>1939</v>
      </c>
      <c r="C9" s="246">
        <v>2195</v>
      </c>
      <c r="D9" s="246">
        <v>88.3</v>
      </c>
      <c r="E9" s="246">
        <v>0.307</v>
      </c>
      <c r="F9" s="246">
        <v>0.33800000000000002</v>
      </c>
      <c r="G9" s="242">
        <v>1</v>
      </c>
      <c r="H9" s="244" t="s">
        <v>228</v>
      </c>
      <c r="I9" s="245">
        <v>1409</v>
      </c>
      <c r="J9" s="246">
        <v>2428</v>
      </c>
      <c r="K9" s="246">
        <v>58</v>
      </c>
      <c r="L9" s="246">
        <v>0.27400000000000002</v>
      </c>
      <c r="M9" s="246">
        <v>0.27100000000000002</v>
      </c>
      <c r="N9" s="241">
        <v>0</v>
      </c>
    </row>
    <row r="10" spans="1:14" ht="13.5" thickBot="1" x14ac:dyDescent="0.35">
      <c r="A10" s="244" t="s">
        <v>171</v>
      </c>
      <c r="B10" s="245">
        <v>1919</v>
      </c>
      <c r="C10" s="246">
        <v>2742</v>
      </c>
      <c r="D10" s="246">
        <v>70</v>
      </c>
      <c r="E10" s="246">
        <v>0.28999999999999998</v>
      </c>
      <c r="F10" s="246">
        <v>0.26100000000000001</v>
      </c>
      <c r="G10" s="242">
        <v>1</v>
      </c>
      <c r="H10" s="244" t="s">
        <v>311</v>
      </c>
      <c r="I10" s="245">
        <v>1338</v>
      </c>
      <c r="J10" s="246">
        <v>1881</v>
      </c>
      <c r="K10" s="246">
        <v>71.099999999999994</v>
      </c>
      <c r="L10" s="246">
        <v>0.21199999999999999</v>
      </c>
      <c r="M10" s="246">
        <v>0.23</v>
      </c>
      <c r="N10" s="241">
        <v>0</v>
      </c>
    </row>
    <row r="11" spans="1:14" ht="13.5" thickBot="1" x14ac:dyDescent="0.35">
      <c r="A11" s="244" t="s">
        <v>144</v>
      </c>
      <c r="B11" s="245">
        <v>1911</v>
      </c>
      <c r="C11" s="246">
        <v>2392</v>
      </c>
      <c r="D11" s="246">
        <v>79.900000000000006</v>
      </c>
      <c r="E11" s="246">
        <v>0.21199999999999999</v>
      </c>
      <c r="F11" s="246">
        <v>0.248</v>
      </c>
      <c r="G11" s="242">
        <v>1</v>
      </c>
      <c r="H11" s="244" t="s">
        <v>215</v>
      </c>
      <c r="I11" s="245">
        <v>1318</v>
      </c>
      <c r="J11" s="246">
        <v>1700</v>
      </c>
      <c r="K11" s="246">
        <v>77.5</v>
      </c>
      <c r="L11" s="246">
        <v>0.23699999999999999</v>
      </c>
      <c r="M11" s="246">
        <v>0.23799999999999999</v>
      </c>
      <c r="N11" s="241">
        <v>0</v>
      </c>
    </row>
    <row r="12" spans="1:14" ht="13.5" thickBot="1" x14ac:dyDescent="0.35">
      <c r="A12" s="244" t="s">
        <v>138</v>
      </c>
      <c r="B12" s="245">
        <v>1894</v>
      </c>
      <c r="C12" s="246">
        <v>2198</v>
      </c>
      <c r="D12" s="246">
        <v>86.2</v>
      </c>
      <c r="E12" s="246">
        <v>0.22600000000000001</v>
      </c>
      <c r="F12" s="246">
        <v>0.253</v>
      </c>
      <c r="G12" s="242">
        <v>1</v>
      </c>
      <c r="H12" s="244" t="s">
        <v>225</v>
      </c>
      <c r="I12" s="245">
        <v>1308</v>
      </c>
      <c r="J12" s="246">
        <v>2175</v>
      </c>
      <c r="K12" s="246">
        <v>60.1</v>
      </c>
      <c r="L12" s="246">
        <v>0.26100000000000001</v>
      </c>
      <c r="M12" s="246">
        <v>0.26300000000000001</v>
      </c>
      <c r="N12" s="241">
        <v>0</v>
      </c>
    </row>
    <row r="13" spans="1:14" ht="13.5" thickBot="1" x14ac:dyDescent="0.35">
      <c r="A13" s="244" t="s">
        <v>155</v>
      </c>
      <c r="B13" s="245">
        <v>1842</v>
      </c>
      <c r="C13" s="246">
        <v>2349</v>
      </c>
      <c r="D13" s="246">
        <v>78.400000000000006</v>
      </c>
      <c r="E13" s="246">
        <v>0.20699999999999999</v>
      </c>
      <c r="F13" s="246">
        <v>0.22</v>
      </c>
      <c r="G13" s="242">
        <v>1</v>
      </c>
      <c r="H13" s="244" t="s">
        <v>204</v>
      </c>
      <c r="I13" s="245">
        <v>1300</v>
      </c>
      <c r="J13" s="246">
        <v>2162</v>
      </c>
      <c r="K13" s="246">
        <v>60.1</v>
      </c>
      <c r="L13" s="246">
        <v>0.26700000000000002</v>
      </c>
      <c r="M13" s="246">
        <v>0.26900000000000002</v>
      </c>
      <c r="N13" s="241">
        <v>0</v>
      </c>
    </row>
    <row r="14" spans="1:14" ht="13.5" thickBot="1" x14ac:dyDescent="0.35">
      <c r="A14" s="244" t="s">
        <v>124</v>
      </c>
      <c r="B14" s="245">
        <v>1759</v>
      </c>
      <c r="C14" s="246">
        <v>2112</v>
      </c>
      <c r="D14" s="246">
        <v>83.3</v>
      </c>
      <c r="E14" s="246">
        <v>0.223</v>
      </c>
      <c r="F14" s="246">
        <v>0.22600000000000001</v>
      </c>
      <c r="G14" s="242">
        <v>1</v>
      </c>
      <c r="H14" s="244" t="s">
        <v>205</v>
      </c>
      <c r="I14" s="245">
        <v>1224</v>
      </c>
      <c r="J14" s="246">
        <v>2308</v>
      </c>
      <c r="K14" s="246">
        <v>53</v>
      </c>
      <c r="L14" s="246">
        <v>0.33800000000000002</v>
      </c>
      <c r="M14" s="246">
        <v>0.3</v>
      </c>
      <c r="N14" s="241">
        <v>0</v>
      </c>
    </row>
    <row r="15" spans="1:14" ht="13.5" thickBot="1" x14ac:dyDescent="0.35">
      <c r="A15" s="244" t="s">
        <v>153</v>
      </c>
      <c r="B15" s="245">
        <v>1750</v>
      </c>
      <c r="C15" s="246">
        <v>2196</v>
      </c>
      <c r="D15" s="246">
        <v>79.7</v>
      </c>
      <c r="E15" s="246">
        <v>0.17299999999999999</v>
      </c>
      <c r="F15" s="246">
        <v>0.216</v>
      </c>
      <c r="G15" s="242">
        <v>1</v>
      </c>
      <c r="H15" s="244" t="s">
        <v>232</v>
      </c>
      <c r="I15" s="245">
        <v>1195</v>
      </c>
      <c r="J15" s="246">
        <v>1529</v>
      </c>
      <c r="K15" s="246">
        <v>78.2</v>
      </c>
      <c r="L15" s="246">
        <v>0.20300000000000001</v>
      </c>
      <c r="M15" s="246">
        <v>0.23</v>
      </c>
      <c r="N15" s="241">
        <v>0</v>
      </c>
    </row>
    <row r="16" spans="1:14" ht="13.5" thickBot="1" x14ac:dyDescent="0.35">
      <c r="A16" s="244" t="s">
        <v>152</v>
      </c>
      <c r="B16" s="245">
        <v>1683</v>
      </c>
      <c r="C16" s="246">
        <v>2229</v>
      </c>
      <c r="D16" s="246">
        <v>75.5</v>
      </c>
      <c r="E16" s="246">
        <v>0.22600000000000001</v>
      </c>
      <c r="F16" s="246">
        <v>0.247</v>
      </c>
      <c r="G16" s="242">
        <v>1</v>
      </c>
      <c r="H16" s="244" t="s">
        <v>222</v>
      </c>
      <c r="I16" s="245">
        <v>1146</v>
      </c>
      <c r="J16" s="246">
        <v>2364</v>
      </c>
      <c r="K16" s="246">
        <v>48.5</v>
      </c>
      <c r="L16" s="246">
        <v>0.20399999999999999</v>
      </c>
      <c r="M16" s="246">
        <v>0.24299999999999999</v>
      </c>
      <c r="N16" s="241">
        <v>0</v>
      </c>
    </row>
    <row r="17" spans="1:14" ht="13.5" thickBot="1" x14ac:dyDescent="0.35">
      <c r="A17" s="244" t="s">
        <v>163</v>
      </c>
      <c r="B17" s="245">
        <v>1666</v>
      </c>
      <c r="C17" s="246">
        <v>2102</v>
      </c>
      <c r="D17" s="246">
        <v>79.3</v>
      </c>
      <c r="E17" s="246">
        <v>0.253</v>
      </c>
      <c r="F17" s="246">
        <v>0.25</v>
      </c>
      <c r="G17" s="242">
        <v>1</v>
      </c>
      <c r="H17" s="244" t="s">
        <v>212</v>
      </c>
      <c r="I17" s="245">
        <v>1140</v>
      </c>
      <c r="J17" s="246">
        <v>2641</v>
      </c>
      <c r="K17" s="246">
        <v>43.2</v>
      </c>
      <c r="L17" s="246">
        <v>0.25800000000000001</v>
      </c>
      <c r="M17" s="246">
        <v>0.25800000000000001</v>
      </c>
      <c r="N17" s="241">
        <v>0</v>
      </c>
    </row>
    <row r="18" spans="1:14" ht="13.5" thickBot="1" x14ac:dyDescent="0.35">
      <c r="A18" s="244" t="s">
        <v>119</v>
      </c>
      <c r="B18" s="245">
        <v>1626</v>
      </c>
      <c r="C18" s="246">
        <v>1761</v>
      </c>
      <c r="D18" s="246">
        <v>92.3</v>
      </c>
      <c r="E18" s="246">
        <v>0.20499999999999999</v>
      </c>
      <c r="F18" s="246">
        <v>0.20300000000000001</v>
      </c>
      <c r="G18" s="242">
        <v>1</v>
      </c>
      <c r="H18" s="244" t="s">
        <v>220</v>
      </c>
      <c r="I18" s="245">
        <v>1049</v>
      </c>
      <c r="J18" s="246">
        <v>2066</v>
      </c>
      <c r="K18" s="246">
        <v>50.8</v>
      </c>
      <c r="L18" s="246">
        <v>0.22600000000000001</v>
      </c>
      <c r="M18" s="246">
        <v>0.23799999999999999</v>
      </c>
      <c r="N18" s="241">
        <v>0</v>
      </c>
    </row>
    <row r="19" spans="1:14" ht="13.5" thickBot="1" x14ac:dyDescent="0.35">
      <c r="A19" s="244" t="s">
        <v>158</v>
      </c>
      <c r="B19" s="245">
        <v>1590</v>
      </c>
      <c r="C19" s="246">
        <v>2765</v>
      </c>
      <c r="D19" s="246">
        <v>57.5</v>
      </c>
      <c r="E19" s="246">
        <v>0.23100000000000001</v>
      </c>
      <c r="F19" s="246">
        <v>0.26500000000000001</v>
      </c>
      <c r="G19" s="242">
        <v>1</v>
      </c>
      <c r="H19" s="244" t="s">
        <v>217</v>
      </c>
      <c r="I19" s="245">
        <v>1019</v>
      </c>
      <c r="J19" s="246">
        <v>2507</v>
      </c>
      <c r="K19" s="246">
        <v>40.6</v>
      </c>
      <c r="L19" s="246">
        <v>0.23899999999999999</v>
      </c>
      <c r="M19" s="246">
        <v>0.22500000000000001</v>
      </c>
      <c r="N19" s="241">
        <v>0</v>
      </c>
    </row>
    <row r="20" spans="1:14" ht="13.5" thickBot="1" x14ac:dyDescent="0.35">
      <c r="A20" s="244" t="s">
        <v>109</v>
      </c>
      <c r="B20" s="245">
        <v>1588</v>
      </c>
      <c r="C20" s="246">
        <v>1700</v>
      </c>
      <c r="D20" s="246">
        <v>93.4</v>
      </c>
      <c r="E20" s="246">
        <v>0.19500000000000001</v>
      </c>
      <c r="F20" s="246">
        <v>0.22</v>
      </c>
      <c r="G20" s="242">
        <v>1</v>
      </c>
      <c r="H20" s="244" t="s">
        <v>190</v>
      </c>
      <c r="I20" s="245">
        <v>1017</v>
      </c>
      <c r="J20" s="246">
        <v>2537</v>
      </c>
      <c r="K20" s="246">
        <v>40.1</v>
      </c>
      <c r="L20" s="246">
        <v>0.28000000000000003</v>
      </c>
      <c r="M20" s="246">
        <v>0.254</v>
      </c>
      <c r="N20" s="241">
        <v>0</v>
      </c>
    </row>
    <row r="21" spans="1:14" ht="13.5" thickBot="1" x14ac:dyDescent="0.35">
      <c r="A21" s="244" t="s">
        <v>120</v>
      </c>
      <c r="B21" s="245">
        <v>1562</v>
      </c>
      <c r="C21" s="246">
        <v>2618</v>
      </c>
      <c r="D21" s="246">
        <v>59.7</v>
      </c>
      <c r="E21" s="246">
        <v>0.20100000000000001</v>
      </c>
      <c r="F21" s="246">
        <v>0.245</v>
      </c>
      <c r="G21" s="242">
        <v>1</v>
      </c>
      <c r="H21" s="244" t="s">
        <v>234</v>
      </c>
      <c r="I21" s="245">
        <v>1010</v>
      </c>
      <c r="J21" s="246">
        <v>2023</v>
      </c>
      <c r="K21" s="246">
        <v>49.9</v>
      </c>
      <c r="L21" s="246">
        <v>0.22500000000000001</v>
      </c>
      <c r="M21" s="246">
        <v>0.27</v>
      </c>
      <c r="N21" s="241">
        <v>0</v>
      </c>
    </row>
    <row r="22" spans="1:14" ht="13.5" thickBot="1" x14ac:dyDescent="0.35">
      <c r="A22" s="244" t="s">
        <v>130</v>
      </c>
      <c r="B22" s="245">
        <v>1527</v>
      </c>
      <c r="C22" s="246">
        <v>1840</v>
      </c>
      <c r="D22" s="246">
        <v>83</v>
      </c>
      <c r="E22" s="246">
        <v>0.214</v>
      </c>
      <c r="F22" s="246">
        <v>0.23300000000000001</v>
      </c>
      <c r="G22" s="242">
        <v>1</v>
      </c>
      <c r="H22" s="244" t="s">
        <v>236</v>
      </c>
      <c r="I22" s="245">
        <v>998</v>
      </c>
      <c r="J22" s="246">
        <v>1276</v>
      </c>
      <c r="K22" s="246">
        <v>78.2</v>
      </c>
      <c r="L22" s="246">
        <v>0.19600000000000001</v>
      </c>
      <c r="M22" s="246">
        <v>0.223</v>
      </c>
      <c r="N22" s="241">
        <v>0</v>
      </c>
    </row>
    <row r="23" spans="1:14" ht="13.5" thickBot="1" x14ac:dyDescent="0.35">
      <c r="A23" s="244" t="s">
        <v>139</v>
      </c>
      <c r="B23" s="245">
        <v>1501</v>
      </c>
      <c r="C23" s="246">
        <v>1656</v>
      </c>
      <c r="D23" s="246">
        <v>90.6</v>
      </c>
      <c r="E23" s="246">
        <v>0.23899999999999999</v>
      </c>
      <c r="F23" s="246">
        <v>0.26800000000000002</v>
      </c>
      <c r="G23" s="242">
        <v>1</v>
      </c>
      <c r="H23" s="244" t="s">
        <v>194</v>
      </c>
      <c r="I23" s="245">
        <v>996</v>
      </c>
      <c r="J23" s="246">
        <v>2027</v>
      </c>
      <c r="K23" s="246">
        <v>49.1</v>
      </c>
      <c r="L23" s="246">
        <v>0.28399999999999997</v>
      </c>
      <c r="M23" s="246">
        <v>0.25700000000000001</v>
      </c>
      <c r="N23" s="241">
        <v>0</v>
      </c>
    </row>
    <row r="24" spans="1:14" ht="13.5" thickBot="1" x14ac:dyDescent="0.35">
      <c r="A24" s="244" t="s">
        <v>281</v>
      </c>
      <c r="B24" s="245">
        <v>1489</v>
      </c>
      <c r="C24" s="246">
        <v>1725</v>
      </c>
      <c r="D24" s="246">
        <v>86.3</v>
      </c>
      <c r="E24" s="246">
        <v>0.153</v>
      </c>
      <c r="F24" s="246">
        <v>0.16500000000000001</v>
      </c>
      <c r="G24" s="242">
        <v>1</v>
      </c>
      <c r="H24" s="244" t="s">
        <v>303</v>
      </c>
      <c r="I24" s="245">
        <v>959</v>
      </c>
      <c r="J24" s="246">
        <v>2233</v>
      </c>
      <c r="K24" s="246">
        <v>42.9</v>
      </c>
      <c r="L24" s="246">
        <v>0.21</v>
      </c>
      <c r="M24" s="246">
        <v>0.214</v>
      </c>
      <c r="N24" s="241">
        <v>0</v>
      </c>
    </row>
    <row r="25" spans="1:14" ht="13.5" thickBot="1" x14ac:dyDescent="0.35">
      <c r="A25" s="244" t="s">
        <v>115</v>
      </c>
      <c r="B25" s="245">
        <v>1462</v>
      </c>
      <c r="C25" s="246">
        <v>2066</v>
      </c>
      <c r="D25" s="246">
        <v>70.8</v>
      </c>
      <c r="E25" s="246">
        <v>0.17299999999999999</v>
      </c>
      <c r="F25" s="246">
        <v>0.23899999999999999</v>
      </c>
      <c r="G25" s="242">
        <v>1</v>
      </c>
      <c r="H25" s="244" t="s">
        <v>200</v>
      </c>
      <c r="I25" s="245">
        <v>950</v>
      </c>
      <c r="J25" s="246">
        <v>2242</v>
      </c>
      <c r="K25" s="246">
        <v>42.4</v>
      </c>
      <c r="L25" s="246">
        <v>0.28499999999999998</v>
      </c>
      <c r="M25" s="246">
        <v>0.245</v>
      </c>
      <c r="N25" s="241">
        <v>0</v>
      </c>
    </row>
    <row r="26" spans="1:14" ht="13.5" thickBot="1" x14ac:dyDescent="0.35">
      <c r="A26" s="244" t="s">
        <v>133</v>
      </c>
      <c r="B26" s="245">
        <v>1453</v>
      </c>
      <c r="C26" s="246">
        <v>2085</v>
      </c>
      <c r="D26" s="246">
        <v>69.7</v>
      </c>
      <c r="E26" s="246">
        <v>0.25</v>
      </c>
      <c r="F26" s="246">
        <v>0.24399999999999999</v>
      </c>
      <c r="G26" s="242">
        <v>1</v>
      </c>
      <c r="H26" s="244" t="s">
        <v>235</v>
      </c>
      <c r="I26" s="245">
        <v>950</v>
      </c>
      <c r="J26" s="246">
        <v>2543</v>
      </c>
      <c r="K26" s="246">
        <v>37.4</v>
      </c>
      <c r="L26" s="246">
        <v>0.23499999999999999</v>
      </c>
      <c r="M26" s="246">
        <v>0.254</v>
      </c>
      <c r="N26" s="241">
        <v>0</v>
      </c>
    </row>
    <row r="27" spans="1:14" ht="13.5" thickBot="1" x14ac:dyDescent="0.35">
      <c r="A27" s="244" t="s">
        <v>157</v>
      </c>
      <c r="B27" s="245">
        <v>1422</v>
      </c>
      <c r="C27" s="246">
        <v>2755</v>
      </c>
      <c r="D27" s="246">
        <v>51.6</v>
      </c>
      <c r="E27" s="246">
        <v>0.34</v>
      </c>
      <c r="F27" s="246">
        <v>0.32800000000000001</v>
      </c>
      <c r="G27" s="242">
        <v>1</v>
      </c>
      <c r="H27" s="244" t="s">
        <v>207</v>
      </c>
      <c r="I27" s="245">
        <v>918</v>
      </c>
      <c r="J27" s="246">
        <v>1837</v>
      </c>
      <c r="K27" s="246">
        <v>50</v>
      </c>
      <c r="L27" s="246">
        <v>0.23200000000000001</v>
      </c>
      <c r="M27" s="246">
        <v>0.25600000000000001</v>
      </c>
      <c r="N27" s="241">
        <v>0</v>
      </c>
    </row>
    <row r="28" spans="1:14" ht="13.5" thickBot="1" x14ac:dyDescent="0.35">
      <c r="A28" s="244" t="s">
        <v>145</v>
      </c>
      <c r="B28" s="245">
        <v>1383</v>
      </c>
      <c r="C28" s="246">
        <v>2219</v>
      </c>
      <c r="D28" s="246">
        <v>62.3</v>
      </c>
      <c r="E28" s="246">
        <v>0.188</v>
      </c>
      <c r="F28" s="246">
        <v>0.20899999999999999</v>
      </c>
      <c r="G28" s="242">
        <v>1</v>
      </c>
      <c r="H28" s="244" t="s">
        <v>216</v>
      </c>
      <c r="I28" s="245">
        <v>896</v>
      </c>
      <c r="J28" s="246">
        <v>2226</v>
      </c>
      <c r="K28" s="246">
        <v>40.299999999999997</v>
      </c>
      <c r="L28" s="246">
        <v>0.24399999999999999</v>
      </c>
      <c r="M28" s="246">
        <v>0.27</v>
      </c>
      <c r="N28" s="241">
        <v>0</v>
      </c>
    </row>
    <row r="29" spans="1:14" ht="13.5" thickBot="1" x14ac:dyDescent="0.35">
      <c r="A29" s="244" t="s">
        <v>122</v>
      </c>
      <c r="B29" s="245">
        <v>1370</v>
      </c>
      <c r="C29" s="246">
        <v>1768</v>
      </c>
      <c r="D29" s="246">
        <v>77.5</v>
      </c>
      <c r="E29" s="246">
        <v>0.23599999999999999</v>
      </c>
      <c r="F29" s="246">
        <v>0.252</v>
      </c>
      <c r="G29" s="242">
        <v>1</v>
      </c>
      <c r="H29" s="244" t="s">
        <v>304</v>
      </c>
      <c r="I29" s="245">
        <v>882</v>
      </c>
      <c r="J29" s="246">
        <v>1220</v>
      </c>
      <c r="K29" s="246">
        <v>72.3</v>
      </c>
      <c r="L29" s="246">
        <v>0.20799999999999999</v>
      </c>
      <c r="M29" s="246">
        <v>0.21099999999999999</v>
      </c>
      <c r="N29" s="241">
        <v>0</v>
      </c>
    </row>
    <row r="30" spans="1:14" ht="13.5" thickBot="1" x14ac:dyDescent="0.35">
      <c r="A30" s="244" t="s">
        <v>128</v>
      </c>
      <c r="B30" s="245">
        <v>1364</v>
      </c>
      <c r="C30" s="246">
        <v>2017</v>
      </c>
      <c r="D30" s="246">
        <v>67.599999999999994</v>
      </c>
      <c r="E30" s="246">
        <v>0.21299999999999999</v>
      </c>
      <c r="F30" s="246">
        <v>0.214</v>
      </c>
      <c r="G30" s="242">
        <v>1</v>
      </c>
      <c r="H30" s="244" t="s">
        <v>208</v>
      </c>
      <c r="I30" s="245">
        <v>864</v>
      </c>
      <c r="J30" s="246">
        <v>2176</v>
      </c>
      <c r="K30" s="246">
        <v>39.700000000000003</v>
      </c>
      <c r="L30" s="246">
        <v>0.246</v>
      </c>
      <c r="M30" s="246">
        <v>0.253</v>
      </c>
      <c r="N30" s="241">
        <v>0</v>
      </c>
    </row>
    <row r="31" spans="1:14" ht="13.5" thickBot="1" x14ac:dyDescent="0.35">
      <c r="A31" s="244" t="s">
        <v>113</v>
      </c>
      <c r="B31" s="245">
        <v>1338</v>
      </c>
      <c r="C31" s="246">
        <v>1685</v>
      </c>
      <c r="D31" s="246">
        <v>79.400000000000006</v>
      </c>
      <c r="E31" s="246">
        <v>0.26</v>
      </c>
      <c r="F31" s="246">
        <v>0.26500000000000001</v>
      </c>
      <c r="G31" s="242">
        <v>1</v>
      </c>
      <c r="H31" s="244" t="s">
        <v>209</v>
      </c>
      <c r="I31" s="245">
        <v>858</v>
      </c>
      <c r="J31" s="246">
        <v>2751</v>
      </c>
      <c r="K31" s="246">
        <v>31.2</v>
      </c>
      <c r="L31" s="246">
        <v>0.24</v>
      </c>
      <c r="M31" s="246">
        <v>0.23200000000000001</v>
      </c>
      <c r="N31" s="241">
        <v>0</v>
      </c>
    </row>
    <row r="32" spans="1:14" ht="13.5" thickBot="1" x14ac:dyDescent="0.35">
      <c r="A32" s="244" t="s">
        <v>150</v>
      </c>
      <c r="B32" s="245">
        <v>1260</v>
      </c>
      <c r="C32" s="246">
        <v>1505</v>
      </c>
      <c r="D32" s="246">
        <v>83.7</v>
      </c>
      <c r="E32" s="246">
        <v>0.217</v>
      </c>
      <c r="F32" s="246">
        <v>0.23300000000000001</v>
      </c>
      <c r="G32" s="242">
        <v>1</v>
      </c>
      <c r="H32" s="244" t="s">
        <v>201</v>
      </c>
      <c r="I32" s="245">
        <v>856</v>
      </c>
      <c r="J32" s="246">
        <v>1490</v>
      </c>
      <c r="K32" s="246">
        <v>57.4</v>
      </c>
      <c r="L32" s="246">
        <v>0.25900000000000001</v>
      </c>
      <c r="M32" s="246">
        <v>0.26300000000000001</v>
      </c>
      <c r="N32" s="241">
        <v>0</v>
      </c>
    </row>
    <row r="33" spans="1:14" ht="13.5" thickBot="1" x14ac:dyDescent="0.35">
      <c r="A33" s="244" t="s">
        <v>110</v>
      </c>
      <c r="B33" s="245">
        <v>1252</v>
      </c>
      <c r="C33" s="246">
        <v>2790</v>
      </c>
      <c r="D33" s="246">
        <v>44.9</v>
      </c>
      <c r="E33" s="246">
        <v>0.214</v>
      </c>
      <c r="F33" s="246">
        <v>0.23799999999999999</v>
      </c>
      <c r="G33" s="242">
        <v>1</v>
      </c>
      <c r="H33" s="244" t="s">
        <v>203</v>
      </c>
      <c r="I33" s="245">
        <v>847</v>
      </c>
      <c r="J33" s="246">
        <v>2372</v>
      </c>
      <c r="K33" s="246">
        <v>35.700000000000003</v>
      </c>
      <c r="L33" s="246">
        <v>0.26700000000000002</v>
      </c>
      <c r="M33" s="246">
        <v>0.28100000000000003</v>
      </c>
      <c r="N33" s="241">
        <v>0</v>
      </c>
    </row>
    <row r="34" spans="1:14" ht="13.5" thickBot="1" x14ac:dyDescent="0.35">
      <c r="A34" s="244" t="s">
        <v>125</v>
      </c>
      <c r="B34" s="245">
        <v>1228</v>
      </c>
      <c r="C34" s="246">
        <v>1746</v>
      </c>
      <c r="D34" s="246">
        <v>70.3</v>
      </c>
      <c r="E34" s="246">
        <v>0.22</v>
      </c>
      <c r="F34" s="246">
        <v>0.221</v>
      </c>
      <c r="G34" s="242">
        <v>1</v>
      </c>
      <c r="H34" s="244" t="s">
        <v>300</v>
      </c>
      <c r="I34" s="245">
        <v>785</v>
      </c>
      <c r="J34" s="246">
        <v>2297</v>
      </c>
      <c r="K34" s="246">
        <v>34.200000000000003</v>
      </c>
      <c r="L34" s="246">
        <v>0.28000000000000003</v>
      </c>
      <c r="M34" s="246">
        <v>0.27200000000000002</v>
      </c>
      <c r="N34" s="241">
        <v>0</v>
      </c>
    </row>
    <row r="35" spans="1:14" ht="13.5" thickBot="1" x14ac:dyDescent="0.35">
      <c r="A35" s="244" t="s">
        <v>123</v>
      </c>
      <c r="B35" s="245">
        <v>1226</v>
      </c>
      <c r="C35" s="246">
        <v>2460</v>
      </c>
      <c r="D35" s="246">
        <v>49.8</v>
      </c>
      <c r="E35" s="246">
        <v>0.247</v>
      </c>
      <c r="F35" s="246">
        <v>0.23</v>
      </c>
      <c r="G35" s="242">
        <v>1</v>
      </c>
      <c r="H35" s="244" t="s">
        <v>237</v>
      </c>
      <c r="I35" s="245">
        <v>742</v>
      </c>
      <c r="J35" s="246">
        <v>1522</v>
      </c>
      <c r="K35" s="246">
        <v>48.8</v>
      </c>
      <c r="L35" s="246">
        <v>0.20499999999999999</v>
      </c>
      <c r="M35" s="246">
        <v>0.224</v>
      </c>
      <c r="N35" s="241">
        <v>0</v>
      </c>
    </row>
    <row r="36" spans="1:14" ht="13.5" thickBot="1" x14ac:dyDescent="0.35">
      <c r="A36" s="244" t="s">
        <v>168</v>
      </c>
      <c r="B36" s="245">
        <v>1205</v>
      </c>
      <c r="C36" s="246">
        <v>2047</v>
      </c>
      <c r="D36" s="246">
        <v>58.9</v>
      </c>
      <c r="E36" s="246">
        <v>0.20899999999999999</v>
      </c>
      <c r="F36" s="246">
        <v>0.221</v>
      </c>
      <c r="G36" s="242">
        <v>1</v>
      </c>
      <c r="H36" s="244" t="s">
        <v>295</v>
      </c>
      <c r="I36" s="245">
        <v>733</v>
      </c>
      <c r="J36" s="246">
        <v>943</v>
      </c>
      <c r="K36" s="246">
        <v>77.7</v>
      </c>
      <c r="L36" s="246">
        <v>0.20399999999999999</v>
      </c>
      <c r="M36" s="246">
        <v>0.20799999999999999</v>
      </c>
      <c r="N36" s="241">
        <v>0</v>
      </c>
    </row>
    <row r="37" spans="1:14" ht="13.5" thickBot="1" x14ac:dyDescent="0.35">
      <c r="A37" s="244" t="s">
        <v>149</v>
      </c>
      <c r="B37" s="245">
        <v>1204</v>
      </c>
      <c r="C37" s="246">
        <v>2232</v>
      </c>
      <c r="D37" s="246">
        <v>53.9</v>
      </c>
      <c r="E37" s="246">
        <v>0.30499999999999999</v>
      </c>
      <c r="F37" s="246">
        <v>0.28100000000000003</v>
      </c>
      <c r="G37" s="242">
        <v>1</v>
      </c>
      <c r="H37" s="244" t="s">
        <v>308</v>
      </c>
      <c r="I37" s="245">
        <v>701</v>
      </c>
      <c r="J37" s="246">
        <v>1584</v>
      </c>
      <c r="K37" s="246">
        <v>44.3</v>
      </c>
      <c r="L37" s="246">
        <v>0.21299999999999999</v>
      </c>
      <c r="M37" s="246">
        <v>0.215</v>
      </c>
      <c r="N37" s="241">
        <v>0</v>
      </c>
    </row>
    <row r="38" spans="1:14" ht="13.5" thickBot="1" x14ac:dyDescent="0.35">
      <c r="A38" s="244" t="s">
        <v>140</v>
      </c>
      <c r="B38" s="245">
        <v>1196</v>
      </c>
      <c r="C38" s="246">
        <v>1642</v>
      </c>
      <c r="D38" s="246">
        <v>72.8</v>
      </c>
      <c r="E38" s="246">
        <v>0.20899999999999999</v>
      </c>
      <c r="F38" s="246">
        <v>0.23</v>
      </c>
      <c r="G38" s="242">
        <v>1</v>
      </c>
      <c r="H38" s="244" t="s">
        <v>302</v>
      </c>
      <c r="I38" s="245">
        <v>698</v>
      </c>
      <c r="J38" s="246">
        <v>1504</v>
      </c>
      <c r="K38" s="246">
        <v>46.4</v>
      </c>
      <c r="L38" s="246">
        <v>0.184</v>
      </c>
      <c r="M38" s="246">
        <v>0.155</v>
      </c>
      <c r="N38" s="241">
        <v>0</v>
      </c>
    </row>
    <row r="39" spans="1:14" ht="13.5" thickBot="1" x14ac:dyDescent="0.35">
      <c r="A39" s="244" t="s">
        <v>132</v>
      </c>
      <c r="B39" s="245">
        <v>1195</v>
      </c>
      <c r="C39" s="246">
        <v>2009</v>
      </c>
      <c r="D39" s="246">
        <v>59.5</v>
      </c>
      <c r="E39" s="246">
        <v>0.27300000000000002</v>
      </c>
      <c r="F39" s="246">
        <v>0.26800000000000002</v>
      </c>
      <c r="G39" s="242">
        <v>1</v>
      </c>
      <c r="H39" s="244" t="s">
        <v>294</v>
      </c>
      <c r="I39" s="245">
        <v>682</v>
      </c>
      <c r="J39" s="246">
        <v>996</v>
      </c>
      <c r="K39" s="246">
        <v>68.5</v>
      </c>
      <c r="L39" s="246">
        <v>0.215</v>
      </c>
      <c r="M39" s="246">
        <v>0.21199999999999999</v>
      </c>
      <c r="N39" s="241">
        <v>0</v>
      </c>
    </row>
    <row r="40" spans="1:14" ht="13.5" thickBot="1" x14ac:dyDescent="0.35">
      <c r="A40" s="244" t="s">
        <v>129</v>
      </c>
      <c r="B40" s="245">
        <v>1189</v>
      </c>
      <c r="C40" s="246">
        <v>1594</v>
      </c>
      <c r="D40" s="246">
        <v>74.599999999999994</v>
      </c>
      <c r="E40" s="246">
        <v>0.28199999999999997</v>
      </c>
      <c r="F40" s="246">
        <v>0.29799999999999999</v>
      </c>
      <c r="G40" s="242">
        <v>1</v>
      </c>
      <c r="H40" s="244" t="s">
        <v>318</v>
      </c>
      <c r="I40" s="245">
        <v>661</v>
      </c>
      <c r="J40" s="246">
        <v>2466</v>
      </c>
      <c r="K40" s="246">
        <v>26.8</v>
      </c>
      <c r="L40" s="246">
        <v>0.184</v>
      </c>
      <c r="M40" s="246">
        <v>0.23100000000000001</v>
      </c>
      <c r="N40" s="241">
        <v>0</v>
      </c>
    </row>
    <row r="41" spans="1:14" ht="13.5" thickBot="1" x14ac:dyDescent="0.35">
      <c r="A41" s="244" t="s">
        <v>118</v>
      </c>
      <c r="B41" s="245">
        <v>1189</v>
      </c>
      <c r="C41" s="246">
        <v>2572</v>
      </c>
      <c r="D41" s="246">
        <v>46.2</v>
      </c>
      <c r="E41" s="246">
        <v>0.251</v>
      </c>
      <c r="F41" s="246">
        <v>0.26500000000000001</v>
      </c>
      <c r="G41" s="242">
        <v>1</v>
      </c>
      <c r="H41" s="244" t="s">
        <v>317</v>
      </c>
      <c r="I41" s="245">
        <v>655</v>
      </c>
      <c r="J41" s="246">
        <v>1620</v>
      </c>
      <c r="K41" s="246">
        <v>40.4</v>
      </c>
      <c r="L41" s="246">
        <v>0.21099999999999999</v>
      </c>
      <c r="M41" s="246">
        <v>0.23100000000000001</v>
      </c>
      <c r="N41" s="241">
        <v>0</v>
      </c>
    </row>
    <row r="42" spans="1:14" ht="13.5" thickBot="1" x14ac:dyDescent="0.35">
      <c r="A42" s="244" t="s">
        <v>127</v>
      </c>
      <c r="B42" s="245">
        <v>1180</v>
      </c>
      <c r="C42" s="246">
        <v>2829</v>
      </c>
      <c r="D42" s="246">
        <v>41.7</v>
      </c>
      <c r="E42" s="246">
        <v>0.26400000000000001</v>
      </c>
      <c r="F42" s="246">
        <v>0.252</v>
      </c>
      <c r="G42" s="242">
        <v>1</v>
      </c>
      <c r="H42" s="244" t="s">
        <v>307</v>
      </c>
      <c r="I42" s="245">
        <v>647</v>
      </c>
      <c r="J42" s="246">
        <v>2078</v>
      </c>
      <c r="K42" s="246">
        <v>31.1</v>
      </c>
      <c r="L42" s="246">
        <v>0.20899999999999999</v>
      </c>
      <c r="M42" s="246">
        <v>0.23100000000000001</v>
      </c>
      <c r="N42" s="241">
        <v>0</v>
      </c>
    </row>
    <row r="43" spans="1:14" ht="13.5" thickBot="1" x14ac:dyDescent="0.35">
      <c r="A43" s="244" t="s">
        <v>111</v>
      </c>
      <c r="B43" s="245">
        <v>1146</v>
      </c>
      <c r="C43" s="246">
        <v>2303</v>
      </c>
      <c r="D43" s="246">
        <v>49.8</v>
      </c>
      <c r="E43" s="246">
        <v>0.24099999999999999</v>
      </c>
      <c r="F43" s="246">
        <v>0.245</v>
      </c>
      <c r="G43" s="242">
        <v>1</v>
      </c>
      <c r="H43" s="244" t="s">
        <v>301</v>
      </c>
      <c r="I43" s="245">
        <v>643</v>
      </c>
      <c r="J43" s="246">
        <v>2426</v>
      </c>
      <c r="K43" s="246">
        <v>26.5</v>
      </c>
      <c r="L43" s="246">
        <v>0.20899999999999999</v>
      </c>
      <c r="M43" s="246">
        <v>0.247</v>
      </c>
      <c r="N43" s="241">
        <v>0</v>
      </c>
    </row>
    <row r="44" spans="1:14" ht="13.5" thickBot="1" x14ac:dyDescent="0.35">
      <c r="A44" s="244" t="s">
        <v>229</v>
      </c>
      <c r="B44" s="245">
        <v>1138</v>
      </c>
      <c r="C44" s="246">
        <v>2089</v>
      </c>
      <c r="D44" s="246">
        <v>54.5</v>
      </c>
      <c r="E44" s="246">
        <v>0.22700000000000001</v>
      </c>
      <c r="F44" s="246">
        <v>0.246</v>
      </c>
      <c r="G44" s="242">
        <v>1</v>
      </c>
      <c r="H44" s="244" t="s">
        <v>296</v>
      </c>
      <c r="I44" s="245">
        <v>589</v>
      </c>
      <c r="J44" s="246">
        <v>2218</v>
      </c>
      <c r="K44" s="246">
        <v>26.6</v>
      </c>
      <c r="L44" s="246">
        <v>0.224</v>
      </c>
      <c r="M44" s="246">
        <v>0.20899999999999999</v>
      </c>
      <c r="N44" s="241">
        <v>0</v>
      </c>
    </row>
    <row r="45" spans="1:14" ht="13.5" thickBot="1" x14ac:dyDescent="0.35">
      <c r="A45" s="244" t="s">
        <v>147</v>
      </c>
      <c r="B45" s="245">
        <v>1134</v>
      </c>
      <c r="C45" s="246">
        <v>2559</v>
      </c>
      <c r="D45" s="246">
        <v>44.3</v>
      </c>
      <c r="E45" s="246">
        <v>0.22600000000000001</v>
      </c>
      <c r="F45" s="246">
        <v>0.246</v>
      </c>
      <c r="G45" s="242">
        <v>1</v>
      </c>
      <c r="H45" s="244" t="s">
        <v>306</v>
      </c>
      <c r="I45" s="245">
        <v>582</v>
      </c>
      <c r="J45" s="246">
        <v>2359</v>
      </c>
      <c r="K45" s="246">
        <v>24.7</v>
      </c>
      <c r="L45" s="246">
        <v>0.16200000000000001</v>
      </c>
      <c r="M45" s="246">
        <v>0.188</v>
      </c>
      <c r="N45" s="241">
        <v>0</v>
      </c>
    </row>
    <row r="46" spans="1:14" ht="13.5" thickBot="1" x14ac:dyDescent="0.35">
      <c r="A46" s="244" t="s">
        <v>154</v>
      </c>
      <c r="B46" s="245">
        <v>1127</v>
      </c>
      <c r="C46" s="246">
        <v>1900</v>
      </c>
      <c r="D46" s="246">
        <v>59.3</v>
      </c>
      <c r="E46" s="246">
        <v>0.23100000000000001</v>
      </c>
      <c r="F46" s="246">
        <v>0.25</v>
      </c>
      <c r="G46" s="242">
        <v>1</v>
      </c>
      <c r="H46" s="244" t="s">
        <v>328</v>
      </c>
      <c r="I46" s="245">
        <v>581</v>
      </c>
      <c r="J46" s="246">
        <v>2637</v>
      </c>
      <c r="K46" s="246">
        <v>22</v>
      </c>
      <c r="L46" s="246">
        <v>0.20899999999999999</v>
      </c>
      <c r="M46" s="246">
        <v>0.246</v>
      </c>
      <c r="N46" s="241">
        <v>0</v>
      </c>
    </row>
    <row r="47" spans="1:14" ht="13.5" thickBot="1" x14ac:dyDescent="0.35">
      <c r="A47" s="244" t="s">
        <v>231</v>
      </c>
      <c r="B47" s="245">
        <v>1117</v>
      </c>
      <c r="C47" s="246">
        <v>1572</v>
      </c>
      <c r="D47" s="246">
        <v>71.099999999999994</v>
      </c>
      <c r="E47" s="246">
        <v>0.19500000000000001</v>
      </c>
      <c r="F47" s="246">
        <v>0.20699999999999999</v>
      </c>
      <c r="G47" s="242">
        <v>1</v>
      </c>
      <c r="H47" s="244" t="s">
        <v>305</v>
      </c>
      <c r="I47" s="245">
        <v>557</v>
      </c>
      <c r="J47" s="246">
        <v>1594</v>
      </c>
      <c r="K47" s="246">
        <v>34.9</v>
      </c>
      <c r="L47" s="246">
        <v>0.192</v>
      </c>
      <c r="M47" s="246">
        <v>0.21299999999999999</v>
      </c>
      <c r="N47" s="241">
        <v>0</v>
      </c>
    </row>
    <row r="48" spans="1:14" ht="13.5" thickBot="1" x14ac:dyDescent="0.35">
      <c r="A48" s="244" t="s">
        <v>159</v>
      </c>
      <c r="B48" s="245">
        <v>1081</v>
      </c>
      <c r="C48" s="246">
        <v>1942</v>
      </c>
      <c r="D48" s="246">
        <v>55.7</v>
      </c>
      <c r="E48" s="246">
        <v>0.153</v>
      </c>
      <c r="F48" s="246">
        <v>0.16800000000000001</v>
      </c>
      <c r="G48" s="242">
        <v>1</v>
      </c>
      <c r="H48" s="244" t="s">
        <v>299</v>
      </c>
      <c r="I48" s="245">
        <v>549</v>
      </c>
      <c r="J48" s="246">
        <v>2004</v>
      </c>
      <c r="K48" s="246">
        <v>27.4</v>
      </c>
      <c r="L48" s="246">
        <v>0.216</v>
      </c>
      <c r="M48" s="246">
        <v>0.22700000000000001</v>
      </c>
      <c r="N48" s="241">
        <v>0</v>
      </c>
    </row>
    <row r="49" spans="1:14" ht="13.5" thickBot="1" x14ac:dyDescent="0.35">
      <c r="A49" s="244" t="s">
        <v>117</v>
      </c>
      <c r="B49" s="245">
        <v>1075</v>
      </c>
      <c r="C49" s="246">
        <v>1725</v>
      </c>
      <c r="D49" s="246">
        <v>62.3</v>
      </c>
      <c r="E49" s="246">
        <v>0.19</v>
      </c>
      <c r="F49" s="246">
        <v>0.22</v>
      </c>
      <c r="G49" s="242">
        <v>1</v>
      </c>
      <c r="H49" s="244" t="s">
        <v>298</v>
      </c>
      <c r="I49" s="245">
        <v>530</v>
      </c>
      <c r="J49" s="246">
        <v>1035</v>
      </c>
      <c r="K49" s="246">
        <v>51.2</v>
      </c>
      <c r="L49" s="246">
        <v>0.27600000000000002</v>
      </c>
      <c r="M49" s="246">
        <v>0.23</v>
      </c>
      <c r="N49" s="241">
        <v>0</v>
      </c>
    </row>
    <row r="50" spans="1:14" ht="13.5" thickBot="1" x14ac:dyDescent="0.35">
      <c r="A50" s="244" t="s">
        <v>161</v>
      </c>
      <c r="B50" s="245">
        <v>1060</v>
      </c>
      <c r="C50" s="246">
        <v>1699</v>
      </c>
      <c r="D50" s="246">
        <v>62.4</v>
      </c>
      <c r="E50" s="246">
        <v>0.22800000000000001</v>
      </c>
      <c r="F50" s="246">
        <v>0.20799999999999999</v>
      </c>
      <c r="G50" s="242">
        <v>1</v>
      </c>
      <c r="H50" s="244" t="s">
        <v>313</v>
      </c>
      <c r="I50" s="245">
        <v>528</v>
      </c>
      <c r="J50" s="246">
        <v>1385</v>
      </c>
      <c r="K50" s="246">
        <v>38.1</v>
      </c>
      <c r="L50" s="246">
        <v>0.221</v>
      </c>
      <c r="M50" s="246">
        <v>0.222</v>
      </c>
      <c r="N50" s="241">
        <v>0</v>
      </c>
    </row>
    <row r="51" spans="1:14" ht="13.5" thickBot="1" x14ac:dyDescent="0.35">
      <c r="A51" s="244" t="s">
        <v>146</v>
      </c>
      <c r="B51" s="245">
        <v>1051</v>
      </c>
      <c r="C51" s="246">
        <v>1282</v>
      </c>
      <c r="D51" s="246">
        <v>82</v>
      </c>
      <c r="E51" s="246">
        <v>0.19500000000000001</v>
      </c>
      <c r="F51" s="246">
        <v>0.19</v>
      </c>
      <c r="G51" s="242">
        <v>1</v>
      </c>
      <c r="H51" s="244" t="s">
        <v>329</v>
      </c>
      <c r="I51" s="245">
        <v>528</v>
      </c>
      <c r="J51" s="246">
        <v>2373</v>
      </c>
      <c r="K51" s="246">
        <v>22.3</v>
      </c>
      <c r="L51" s="246">
        <v>0.224</v>
      </c>
      <c r="M51" s="246">
        <v>0.22600000000000001</v>
      </c>
      <c r="N51" s="241">
        <v>0</v>
      </c>
    </row>
    <row r="52" spans="1:14" ht="13.5" thickBot="1" x14ac:dyDescent="0.35">
      <c r="A52" s="244" t="s">
        <v>249</v>
      </c>
      <c r="B52" s="245">
        <v>1014</v>
      </c>
      <c r="C52" s="246">
        <v>1194</v>
      </c>
      <c r="D52" s="246">
        <v>84.9</v>
      </c>
      <c r="E52" s="246">
        <v>0.223</v>
      </c>
      <c r="F52" s="246">
        <v>0.219</v>
      </c>
      <c r="G52" s="242">
        <v>1</v>
      </c>
      <c r="H52" s="244" t="s">
        <v>330</v>
      </c>
      <c r="I52" s="245">
        <v>523</v>
      </c>
      <c r="J52" s="246">
        <v>2500</v>
      </c>
      <c r="K52" s="246">
        <v>20.9</v>
      </c>
      <c r="L52" s="246">
        <v>0.33300000000000002</v>
      </c>
      <c r="M52" s="246">
        <v>0.25800000000000001</v>
      </c>
      <c r="N52" s="241">
        <v>0</v>
      </c>
    </row>
    <row r="53" spans="1:14" ht="13.5" thickBot="1" x14ac:dyDescent="0.35">
      <c r="A53" s="244" t="s">
        <v>135</v>
      </c>
      <c r="B53" s="245">
        <v>993</v>
      </c>
      <c r="C53" s="246">
        <v>2505</v>
      </c>
      <c r="D53" s="246">
        <v>39.6</v>
      </c>
      <c r="E53" s="246">
        <v>0.26600000000000001</v>
      </c>
      <c r="F53" s="246">
        <v>0.26800000000000002</v>
      </c>
      <c r="G53" s="242">
        <v>1</v>
      </c>
      <c r="H53" s="244" t="s">
        <v>312</v>
      </c>
      <c r="I53" s="245">
        <v>500</v>
      </c>
      <c r="J53" s="246">
        <v>1274</v>
      </c>
      <c r="K53" s="246">
        <v>39.200000000000003</v>
      </c>
      <c r="L53" s="246">
        <v>0.19500000000000001</v>
      </c>
      <c r="M53" s="246">
        <v>0.20599999999999999</v>
      </c>
      <c r="N53" s="241">
        <v>0</v>
      </c>
    </row>
    <row r="54" spans="1:14" ht="13.5" thickBot="1" x14ac:dyDescent="0.35">
      <c r="A54" s="244" t="s">
        <v>170</v>
      </c>
      <c r="B54" s="245">
        <v>975</v>
      </c>
      <c r="C54" s="246">
        <v>1039</v>
      </c>
      <c r="D54" s="246">
        <v>93.8</v>
      </c>
      <c r="E54" s="246">
        <v>0.28999999999999998</v>
      </c>
      <c r="F54" s="246">
        <v>0.28499999999999998</v>
      </c>
      <c r="G54" s="242">
        <v>1</v>
      </c>
      <c r="H54" s="244" t="s">
        <v>309</v>
      </c>
      <c r="I54" s="245">
        <v>499</v>
      </c>
      <c r="J54" s="246">
        <v>1418</v>
      </c>
      <c r="K54" s="246">
        <v>35.200000000000003</v>
      </c>
      <c r="L54" s="246">
        <v>0.23300000000000001</v>
      </c>
      <c r="M54" s="246">
        <v>0.221</v>
      </c>
      <c r="N54" s="241">
        <v>0</v>
      </c>
    </row>
    <row r="55" spans="1:14" ht="13.5" thickBot="1" x14ac:dyDescent="0.35">
      <c r="A55" s="244" t="s">
        <v>164</v>
      </c>
      <c r="B55" s="245">
        <v>969</v>
      </c>
      <c r="C55" s="246">
        <v>2159</v>
      </c>
      <c r="D55" s="246">
        <v>44.9</v>
      </c>
      <c r="E55" s="246">
        <v>0.22900000000000001</v>
      </c>
      <c r="F55" s="246">
        <v>0.255</v>
      </c>
      <c r="G55" s="242">
        <v>1</v>
      </c>
      <c r="H55" s="244" t="s">
        <v>314</v>
      </c>
      <c r="I55" s="245">
        <v>497</v>
      </c>
      <c r="J55" s="246">
        <v>1006</v>
      </c>
      <c r="K55" s="246">
        <v>49.4</v>
      </c>
      <c r="L55" s="246">
        <v>0.12</v>
      </c>
      <c r="M55" s="246">
        <v>0.16900000000000001</v>
      </c>
      <c r="N55" s="241">
        <v>0</v>
      </c>
    </row>
    <row r="56" spans="1:14" ht="13.5" thickBot="1" x14ac:dyDescent="0.35">
      <c r="A56" s="244" t="s">
        <v>172</v>
      </c>
      <c r="B56" s="245">
        <v>968</v>
      </c>
      <c r="C56" s="246">
        <v>2321</v>
      </c>
      <c r="D56" s="246">
        <v>41.7</v>
      </c>
      <c r="E56" s="246">
        <v>0.23799999999999999</v>
      </c>
      <c r="F56" s="246">
        <v>0.19900000000000001</v>
      </c>
      <c r="G56" s="242">
        <v>1</v>
      </c>
      <c r="H56" s="244" t="s">
        <v>293</v>
      </c>
      <c r="I56" s="245">
        <v>494</v>
      </c>
      <c r="J56" s="246">
        <v>1436</v>
      </c>
      <c r="K56" s="246">
        <v>34.4</v>
      </c>
      <c r="L56" s="246">
        <v>0.19800000000000001</v>
      </c>
      <c r="M56" s="246">
        <v>0.19</v>
      </c>
      <c r="N56" s="241">
        <v>0</v>
      </c>
    </row>
    <row r="57" spans="1:14" ht="13.5" thickBot="1" x14ac:dyDescent="0.35">
      <c r="A57" s="244" t="s">
        <v>126</v>
      </c>
      <c r="B57" s="245">
        <v>957</v>
      </c>
      <c r="C57" s="246">
        <v>1759</v>
      </c>
      <c r="D57" s="246">
        <v>54.4</v>
      </c>
      <c r="E57" s="246">
        <v>0.20100000000000001</v>
      </c>
      <c r="F57" s="246">
        <v>0.21099999999999999</v>
      </c>
      <c r="G57" s="242">
        <v>1</v>
      </c>
      <c r="H57" s="244" t="s">
        <v>410</v>
      </c>
      <c r="I57" s="245">
        <v>484</v>
      </c>
      <c r="J57" s="246">
        <v>783</v>
      </c>
      <c r="K57" s="246">
        <v>61.8</v>
      </c>
      <c r="L57" s="246">
        <v>0.16900000000000001</v>
      </c>
      <c r="M57" s="246">
        <v>0.18099999999999999</v>
      </c>
      <c r="N57" s="241">
        <v>0</v>
      </c>
    </row>
    <row r="58" spans="1:14" ht="13.5" thickBot="1" x14ac:dyDescent="0.35">
      <c r="A58" s="244" t="s">
        <v>258</v>
      </c>
      <c r="B58" s="245">
        <v>942</v>
      </c>
      <c r="C58" s="246">
        <v>1150</v>
      </c>
      <c r="D58" s="246">
        <v>81.900000000000006</v>
      </c>
      <c r="E58" s="246">
        <v>0.21299999999999999</v>
      </c>
      <c r="F58" s="246">
        <v>0.20100000000000001</v>
      </c>
      <c r="G58" s="242">
        <v>1</v>
      </c>
      <c r="H58" s="244" t="s">
        <v>315</v>
      </c>
      <c r="I58" s="245">
        <v>484</v>
      </c>
      <c r="J58" s="246">
        <v>1423</v>
      </c>
      <c r="K58" s="246">
        <v>34</v>
      </c>
      <c r="L58" s="246">
        <v>0.17100000000000001</v>
      </c>
      <c r="M58" s="246">
        <v>0.20799999999999999</v>
      </c>
      <c r="N58" s="241">
        <v>0</v>
      </c>
    </row>
    <row r="59" spans="1:14" ht="13.5" thickBot="1" x14ac:dyDescent="0.35">
      <c r="A59" s="244" t="s">
        <v>134</v>
      </c>
      <c r="B59" s="245">
        <v>942</v>
      </c>
      <c r="C59" s="246">
        <v>1538</v>
      </c>
      <c r="D59" s="246">
        <v>61.2</v>
      </c>
      <c r="E59" s="246">
        <v>0.249</v>
      </c>
      <c r="F59" s="246">
        <v>0.28100000000000003</v>
      </c>
      <c r="G59" s="242">
        <v>1</v>
      </c>
      <c r="H59" s="244" t="s">
        <v>316</v>
      </c>
      <c r="I59" s="245">
        <v>483</v>
      </c>
      <c r="J59" s="246">
        <v>918</v>
      </c>
      <c r="K59" s="246">
        <v>52.6</v>
      </c>
      <c r="L59" s="246">
        <v>0.16700000000000001</v>
      </c>
      <c r="M59" s="246">
        <v>0.246</v>
      </c>
      <c r="N59" s="241">
        <v>0</v>
      </c>
    </row>
    <row r="60" spans="1:14" ht="13.5" thickBot="1" x14ac:dyDescent="0.35">
      <c r="A60" s="244" t="s">
        <v>210</v>
      </c>
      <c r="B60" s="245">
        <v>913</v>
      </c>
      <c r="C60" s="246">
        <v>1739</v>
      </c>
      <c r="D60" s="246">
        <v>52.5</v>
      </c>
      <c r="E60" s="246">
        <v>0.19900000000000001</v>
      </c>
      <c r="F60" s="246">
        <v>0.222</v>
      </c>
      <c r="G60" s="242">
        <v>1</v>
      </c>
      <c r="H60" s="244" t="s">
        <v>310</v>
      </c>
      <c r="I60" s="245">
        <v>476</v>
      </c>
      <c r="J60" s="246">
        <v>907</v>
      </c>
      <c r="K60" s="246">
        <v>52.5</v>
      </c>
      <c r="L60" s="246">
        <v>0.21299999999999999</v>
      </c>
      <c r="M60" s="246">
        <v>0.255</v>
      </c>
      <c r="N60" s="241">
        <v>0</v>
      </c>
    </row>
    <row r="61" spans="1:14" ht="13.5" thickBot="1" x14ac:dyDescent="0.35">
      <c r="A61" s="244" t="s">
        <v>265</v>
      </c>
      <c r="B61" s="245">
        <v>905</v>
      </c>
      <c r="C61" s="246">
        <v>1317</v>
      </c>
      <c r="D61" s="246">
        <v>68.7</v>
      </c>
      <c r="E61" s="246">
        <v>0.23400000000000001</v>
      </c>
      <c r="F61" s="246">
        <v>0.24299999999999999</v>
      </c>
      <c r="G61" s="242">
        <v>1</v>
      </c>
      <c r="H61" s="244" t="s">
        <v>411</v>
      </c>
      <c r="I61" s="245">
        <v>474</v>
      </c>
      <c r="J61" s="246">
        <v>1146</v>
      </c>
      <c r="K61" s="246">
        <v>41.4</v>
      </c>
      <c r="L61" s="246">
        <v>0.221</v>
      </c>
      <c r="M61" s="246">
        <v>0.20100000000000001</v>
      </c>
      <c r="N61" s="241">
        <v>0</v>
      </c>
    </row>
    <row r="62" spans="1:14" ht="13.5" thickBot="1" x14ac:dyDescent="0.35">
      <c r="A62" s="244" t="s">
        <v>196</v>
      </c>
      <c r="B62" s="245">
        <v>900</v>
      </c>
      <c r="C62" s="246">
        <v>1573</v>
      </c>
      <c r="D62" s="246">
        <v>57.2</v>
      </c>
      <c r="E62" s="246">
        <v>0.187</v>
      </c>
      <c r="F62" s="246">
        <v>0.217</v>
      </c>
      <c r="G62" s="242">
        <v>1</v>
      </c>
      <c r="H62" s="244" t="s">
        <v>331</v>
      </c>
      <c r="I62" s="245">
        <v>455</v>
      </c>
      <c r="J62" s="246">
        <v>1733</v>
      </c>
      <c r="K62" s="246">
        <v>26.3</v>
      </c>
      <c r="L62" s="246">
        <v>0.26500000000000001</v>
      </c>
      <c r="M62" s="246">
        <v>0.26300000000000001</v>
      </c>
      <c r="N62" s="241">
        <v>0</v>
      </c>
    </row>
    <row r="63" spans="1:14" ht="13.5" thickBot="1" x14ac:dyDescent="0.35">
      <c r="A63" s="244" t="s">
        <v>108</v>
      </c>
      <c r="B63" s="245">
        <v>848</v>
      </c>
      <c r="C63" s="246">
        <v>1004</v>
      </c>
      <c r="D63" s="246">
        <v>84.5</v>
      </c>
      <c r="E63" s="246">
        <v>0.20599999999999999</v>
      </c>
      <c r="F63" s="246">
        <v>0.23300000000000001</v>
      </c>
      <c r="G63" s="242">
        <v>1</v>
      </c>
      <c r="H63" s="244" t="s">
        <v>290</v>
      </c>
      <c r="I63" s="245">
        <v>449</v>
      </c>
      <c r="J63" s="246">
        <v>696</v>
      </c>
      <c r="K63" s="246">
        <v>64.5</v>
      </c>
      <c r="L63" s="246">
        <v>0.35399999999999998</v>
      </c>
      <c r="M63" s="246">
        <v>0.27500000000000002</v>
      </c>
      <c r="N63" s="241">
        <v>0</v>
      </c>
    </row>
    <row r="64" spans="1:14" ht="13.5" thickBot="1" x14ac:dyDescent="0.35">
      <c r="A64" s="244" t="s">
        <v>165</v>
      </c>
      <c r="B64" s="245">
        <v>845</v>
      </c>
      <c r="C64" s="246">
        <v>2747</v>
      </c>
      <c r="D64" s="246">
        <v>30.8</v>
      </c>
      <c r="E64" s="246">
        <v>0.29299999999999998</v>
      </c>
      <c r="F64" s="246">
        <v>0.26800000000000002</v>
      </c>
      <c r="G64" s="242">
        <v>1</v>
      </c>
      <c r="H64" s="244" t="s">
        <v>289</v>
      </c>
      <c r="I64" s="245">
        <v>444</v>
      </c>
      <c r="J64" s="246">
        <v>2371</v>
      </c>
      <c r="K64" s="246">
        <v>18.7</v>
      </c>
      <c r="L64" s="246">
        <v>0.32400000000000001</v>
      </c>
      <c r="M64" s="246">
        <v>0.26200000000000001</v>
      </c>
      <c r="N64" s="241">
        <v>0</v>
      </c>
    </row>
    <row r="65" spans="1:14" ht="13.5" thickBot="1" x14ac:dyDescent="0.35">
      <c r="A65" s="244" t="s">
        <v>136</v>
      </c>
      <c r="B65" s="245">
        <v>834</v>
      </c>
      <c r="C65" s="246">
        <v>1387</v>
      </c>
      <c r="D65" s="246">
        <v>60.1</v>
      </c>
      <c r="E65" s="246">
        <v>0.20499999999999999</v>
      </c>
      <c r="F65" s="246">
        <v>0.219</v>
      </c>
      <c r="G65" s="242">
        <v>1</v>
      </c>
      <c r="H65" s="244" t="s">
        <v>412</v>
      </c>
      <c r="I65" s="245">
        <v>419</v>
      </c>
      <c r="J65" s="246">
        <v>1376</v>
      </c>
      <c r="K65" s="246">
        <v>30.5</v>
      </c>
      <c r="L65" s="246">
        <v>0.29299999999999998</v>
      </c>
      <c r="M65" s="246">
        <v>0.24099999999999999</v>
      </c>
      <c r="N65" s="241">
        <v>0</v>
      </c>
    </row>
    <row r="66" spans="1:14" ht="13.5" thickBot="1" x14ac:dyDescent="0.35">
      <c r="A66" s="244" t="s">
        <v>112</v>
      </c>
      <c r="B66" s="245">
        <v>831</v>
      </c>
      <c r="C66" s="246">
        <v>1010</v>
      </c>
      <c r="D66" s="246">
        <v>82.3</v>
      </c>
      <c r="E66" s="246">
        <v>0.193</v>
      </c>
      <c r="F66" s="246">
        <v>0.189</v>
      </c>
      <c r="G66" s="242">
        <v>1</v>
      </c>
      <c r="H66" s="244" t="s">
        <v>413</v>
      </c>
      <c r="I66" s="245">
        <v>408</v>
      </c>
      <c r="J66" s="246">
        <v>1475</v>
      </c>
      <c r="K66" s="246">
        <v>27.7</v>
      </c>
      <c r="L66" s="246">
        <v>0.189</v>
      </c>
      <c r="M66" s="246">
        <v>0.20300000000000001</v>
      </c>
      <c r="N66" s="241">
        <v>0</v>
      </c>
    </row>
    <row r="67" spans="1:14" ht="13.5" thickBot="1" x14ac:dyDescent="0.35">
      <c r="A67" s="244" t="s">
        <v>343</v>
      </c>
      <c r="B67" s="245">
        <v>809</v>
      </c>
      <c r="C67" s="246">
        <v>1029</v>
      </c>
      <c r="D67" s="246">
        <v>78.599999999999994</v>
      </c>
      <c r="E67" s="246">
        <v>0.15</v>
      </c>
      <c r="F67" s="246">
        <v>0.17599999999999999</v>
      </c>
      <c r="G67" s="242">
        <v>1</v>
      </c>
      <c r="H67" s="244" t="s">
        <v>291</v>
      </c>
      <c r="I67" s="245">
        <v>399</v>
      </c>
      <c r="J67" s="246">
        <v>1648</v>
      </c>
      <c r="K67" s="246">
        <v>24.2</v>
      </c>
      <c r="L67" s="246">
        <v>0.221</v>
      </c>
      <c r="M67" s="246">
        <v>0.183</v>
      </c>
      <c r="N67" s="241">
        <v>0</v>
      </c>
    </row>
    <row r="68" spans="1:14" ht="13.5" thickBot="1" x14ac:dyDescent="0.35">
      <c r="A68" s="244" t="s">
        <v>284</v>
      </c>
      <c r="B68" s="245">
        <v>806</v>
      </c>
      <c r="C68" s="246">
        <v>982</v>
      </c>
      <c r="D68" s="246">
        <v>82.1</v>
      </c>
      <c r="E68" s="246">
        <v>0.14499999999999999</v>
      </c>
      <c r="F68" s="246">
        <v>0.157</v>
      </c>
      <c r="G68" s="242">
        <v>1</v>
      </c>
      <c r="H68" s="244" t="s">
        <v>332</v>
      </c>
      <c r="I68" s="245">
        <v>394</v>
      </c>
      <c r="J68" s="246">
        <v>1980</v>
      </c>
      <c r="K68" s="246">
        <v>19.899999999999999</v>
      </c>
      <c r="L68" s="246">
        <v>0.20300000000000001</v>
      </c>
      <c r="M68" s="246">
        <v>0.182</v>
      </c>
      <c r="N68" s="241">
        <v>0</v>
      </c>
    </row>
    <row r="69" spans="1:14" ht="13.5" thickBot="1" x14ac:dyDescent="0.35">
      <c r="A69" s="244" t="s">
        <v>148</v>
      </c>
      <c r="B69" s="245">
        <v>785</v>
      </c>
      <c r="C69" s="246">
        <v>1830</v>
      </c>
      <c r="D69" s="246">
        <v>42.9</v>
      </c>
      <c r="E69" s="246">
        <v>0.23899999999999999</v>
      </c>
      <c r="F69" s="246">
        <v>0.23300000000000001</v>
      </c>
      <c r="G69" s="242">
        <v>1</v>
      </c>
      <c r="H69" s="244" t="s">
        <v>297</v>
      </c>
      <c r="I69" s="245">
        <v>380</v>
      </c>
      <c r="J69" s="246">
        <v>2051</v>
      </c>
      <c r="K69" s="246">
        <v>18.5</v>
      </c>
      <c r="L69" s="246">
        <v>0.253</v>
      </c>
      <c r="M69" s="246">
        <v>0.29699999999999999</v>
      </c>
      <c r="N69" s="241">
        <v>0</v>
      </c>
    </row>
    <row r="70" spans="1:14" ht="13.5" thickBot="1" x14ac:dyDescent="0.35">
      <c r="A70" s="244" t="s">
        <v>191</v>
      </c>
      <c r="B70" s="245">
        <v>781</v>
      </c>
      <c r="C70" s="246">
        <v>1926</v>
      </c>
      <c r="D70" s="246">
        <v>40.6</v>
      </c>
      <c r="E70" s="246">
        <v>0.28000000000000003</v>
      </c>
      <c r="F70" s="246">
        <v>0.24199999999999999</v>
      </c>
      <c r="G70" s="242">
        <v>1</v>
      </c>
      <c r="H70" s="244" t="s">
        <v>414</v>
      </c>
      <c r="I70" s="245">
        <v>372</v>
      </c>
      <c r="J70" s="246">
        <v>1149</v>
      </c>
      <c r="K70" s="246">
        <v>32.4</v>
      </c>
      <c r="L70" s="246">
        <v>0.219</v>
      </c>
      <c r="M70" s="246">
        <v>0.23799999999999999</v>
      </c>
      <c r="N70" s="241">
        <v>0</v>
      </c>
    </row>
    <row r="71" spans="1:14" ht="13.5" thickBot="1" x14ac:dyDescent="0.35">
      <c r="A71" s="244" t="s">
        <v>151</v>
      </c>
      <c r="B71" s="245">
        <v>774</v>
      </c>
      <c r="C71" s="246">
        <v>1550</v>
      </c>
      <c r="D71" s="246">
        <v>49.9</v>
      </c>
      <c r="E71" s="246">
        <v>0.222</v>
      </c>
      <c r="F71" s="246">
        <v>0.22700000000000001</v>
      </c>
      <c r="G71" s="242">
        <v>1</v>
      </c>
      <c r="H71" s="244" t="s">
        <v>292</v>
      </c>
      <c r="I71" s="245">
        <v>372</v>
      </c>
      <c r="J71" s="246">
        <v>2145</v>
      </c>
      <c r="K71" s="246">
        <v>17.3</v>
      </c>
      <c r="L71" s="246">
        <v>0.33</v>
      </c>
      <c r="M71" s="246">
        <v>0.27100000000000002</v>
      </c>
      <c r="N71" s="241">
        <v>0</v>
      </c>
    </row>
    <row r="72" spans="1:14" ht="13.5" thickBot="1" x14ac:dyDescent="0.35">
      <c r="A72" s="244" t="s">
        <v>142</v>
      </c>
      <c r="B72" s="245">
        <v>766</v>
      </c>
      <c r="C72" s="246">
        <v>2044</v>
      </c>
      <c r="D72" s="246">
        <v>37.5</v>
      </c>
      <c r="E72" s="246">
        <v>0.255</v>
      </c>
      <c r="F72" s="246">
        <v>0.248</v>
      </c>
      <c r="G72" s="242">
        <v>1</v>
      </c>
      <c r="H72" s="244" t="s">
        <v>288</v>
      </c>
      <c r="I72" s="245">
        <v>368</v>
      </c>
      <c r="J72" s="246">
        <v>1415</v>
      </c>
      <c r="K72" s="246">
        <v>26</v>
      </c>
      <c r="L72" s="246">
        <v>0.245</v>
      </c>
      <c r="M72" s="246">
        <v>0.19700000000000001</v>
      </c>
      <c r="N72" s="241">
        <v>0</v>
      </c>
    </row>
    <row r="73" spans="1:14" ht="13.5" thickBot="1" x14ac:dyDescent="0.35">
      <c r="A73" s="244" t="s">
        <v>162</v>
      </c>
      <c r="B73" s="245">
        <v>745</v>
      </c>
      <c r="C73" s="246">
        <v>1964</v>
      </c>
      <c r="D73" s="246">
        <v>37.9</v>
      </c>
      <c r="E73" s="246">
        <v>0.23599999999999999</v>
      </c>
      <c r="F73" s="246">
        <v>0.255</v>
      </c>
      <c r="G73" s="242">
        <v>1</v>
      </c>
      <c r="H73" s="244" t="s">
        <v>415</v>
      </c>
      <c r="I73" s="245">
        <v>365</v>
      </c>
      <c r="J73" s="246">
        <v>1853</v>
      </c>
      <c r="K73" s="246">
        <v>19.7</v>
      </c>
      <c r="L73" s="246">
        <v>0.32900000000000001</v>
      </c>
      <c r="M73" s="246">
        <v>0.24399999999999999</v>
      </c>
      <c r="N73" s="241">
        <v>0</v>
      </c>
    </row>
    <row r="74" spans="1:14" ht="13.5" thickBot="1" x14ac:dyDescent="0.35">
      <c r="A74" s="244" t="s">
        <v>252</v>
      </c>
      <c r="B74" s="245">
        <v>734</v>
      </c>
      <c r="C74" s="246">
        <v>1091</v>
      </c>
      <c r="D74" s="246">
        <v>67.3</v>
      </c>
      <c r="E74" s="246">
        <v>0.23</v>
      </c>
      <c r="F74" s="246">
        <v>0.22900000000000001</v>
      </c>
      <c r="G74" s="242">
        <v>1</v>
      </c>
      <c r="H74" s="244" t="s">
        <v>416</v>
      </c>
      <c r="I74" s="245">
        <v>353</v>
      </c>
      <c r="J74" s="246">
        <v>1974</v>
      </c>
      <c r="K74" s="246">
        <v>17.899999999999999</v>
      </c>
      <c r="L74" s="246">
        <v>0.23300000000000001</v>
      </c>
      <c r="M74" s="246">
        <v>0.254</v>
      </c>
      <c r="N74" s="241">
        <v>0</v>
      </c>
    </row>
    <row r="75" spans="1:14" ht="13.5" thickBot="1" x14ac:dyDescent="0.35">
      <c r="A75" s="244" t="s">
        <v>246</v>
      </c>
      <c r="B75" s="245">
        <v>731</v>
      </c>
      <c r="C75" s="246">
        <v>950</v>
      </c>
      <c r="D75" s="246">
        <v>76.900000000000006</v>
      </c>
      <c r="E75" s="246">
        <v>0.23499999999999999</v>
      </c>
      <c r="F75" s="246">
        <v>0.221</v>
      </c>
      <c r="G75" s="242">
        <v>1</v>
      </c>
      <c r="H75" s="244" t="s">
        <v>417</v>
      </c>
      <c r="I75" s="245">
        <v>347</v>
      </c>
      <c r="J75" s="246">
        <v>1992</v>
      </c>
      <c r="K75" s="246">
        <v>17.399999999999999</v>
      </c>
      <c r="L75" s="246">
        <v>0.20799999999999999</v>
      </c>
      <c r="M75" s="246">
        <v>0.26</v>
      </c>
      <c r="N75" s="241">
        <v>0</v>
      </c>
    </row>
    <row r="76" spans="1:14" ht="13.5" thickBot="1" x14ac:dyDescent="0.35">
      <c r="A76" s="244" t="s">
        <v>167</v>
      </c>
      <c r="B76" s="245">
        <v>726</v>
      </c>
      <c r="C76" s="246">
        <v>1818</v>
      </c>
      <c r="D76" s="246">
        <v>39.9</v>
      </c>
      <c r="E76" s="246">
        <v>0.223</v>
      </c>
      <c r="F76" s="246">
        <v>0.216</v>
      </c>
      <c r="G76" s="242">
        <v>1</v>
      </c>
      <c r="H76" s="244" t="s">
        <v>418</v>
      </c>
      <c r="I76" s="245">
        <v>346</v>
      </c>
      <c r="J76" s="246">
        <v>853</v>
      </c>
      <c r="K76" s="246">
        <v>40.6</v>
      </c>
      <c r="L76" s="246">
        <v>0.19700000000000001</v>
      </c>
      <c r="M76" s="246">
        <v>0.17299999999999999</v>
      </c>
      <c r="N76" s="241">
        <v>0</v>
      </c>
    </row>
    <row r="77" spans="1:14" ht="13.5" thickBot="1" x14ac:dyDescent="0.35">
      <c r="A77" s="244" t="s">
        <v>226</v>
      </c>
      <c r="B77" s="245">
        <v>717</v>
      </c>
      <c r="C77" s="246">
        <v>1713</v>
      </c>
      <c r="D77" s="246">
        <v>41.9</v>
      </c>
      <c r="E77" s="246">
        <v>0.20699999999999999</v>
      </c>
      <c r="F77" s="246">
        <v>0.248</v>
      </c>
      <c r="G77" s="242">
        <v>1</v>
      </c>
      <c r="H77" s="244" t="s">
        <v>419</v>
      </c>
      <c r="I77" s="245">
        <v>340</v>
      </c>
      <c r="J77" s="246">
        <v>1160</v>
      </c>
      <c r="K77" s="246">
        <v>29.3</v>
      </c>
      <c r="L77" s="246">
        <v>0.23899999999999999</v>
      </c>
      <c r="M77" s="246">
        <v>0.218</v>
      </c>
      <c r="N77" s="241">
        <v>0</v>
      </c>
    </row>
    <row r="78" spans="1:14" ht="13.5" thickBot="1" x14ac:dyDescent="0.35">
      <c r="A78" s="244" t="s">
        <v>264</v>
      </c>
      <c r="B78" s="245">
        <v>708</v>
      </c>
      <c r="C78" s="246">
        <v>2061</v>
      </c>
      <c r="D78" s="246">
        <v>34.4</v>
      </c>
      <c r="E78" s="246">
        <v>0.156</v>
      </c>
      <c r="F78" s="246">
        <v>0.193</v>
      </c>
      <c r="G78" s="242">
        <v>1</v>
      </c>
      <c r="H78" s="244" t="s">
        <v>420</v>
      </c>
      <c r="I78" s="245">
        <v>331</v>
      </c>
      <c r="J78" s="246">
        <v>961</v>
      </c>
      <c r="K78" s="246">
        <v>34.4</v>
      </c>
      <c r="L78" s="246">
        <v>0.22500000000000001</v>
      </c>
      <c r="M78" s="246">
        <v>0.22900000000000001</v>
      </c>
      <c r="N78" s="241">
        <v>0</v>
      </c>
    </row>
    <row r="79" spans="1:14" ht="13.5" thickBot="1" x14ac:dyDescent="0.35">
      <c r="A79" s="244" t="s">
        <v>141</v>
      </c>
      <c r="B79" s="245">
        <v>703</v>
      </c>
      <c r="C79" s="246">
        <v>2049</v>
      </c>
      <c r="D79" s="246">
        <v>34.299999999999997</v>
      </c>
      <c r="E79" s="246">
        <v>0.249</v>
      </c>
      <c r="F79" s="246">
        <v>0.218</v>
      </c>
      <c r="G79" s="242">
        <v>1</v>
      </c>
      <c r="H79" s="244" t="s">
        <v>421</v>
      </c>
      <c r="I79" s="245">
        <v>331</v>
      </c>
      <c r="J79" s="246">
        <v>1841</v>
      </c>
      <c r="K79" s="246">
        <v>18</v>
      </c>
      <c r="L79" s="246">
        <v>0.26700000000000002</v>
      </c>
      <c r="M79" s="246">
        <v>0.24399999999999999</v>
      </c>
      <c r="N79" s="241">
        <v>0</v>
      </c>
    </row>
    <row r="80" spans="1:14" ht="13.5" thickBot="1" x14ac:dyDescent="0.35">
      <c r="A80" s="244" t="s">
        <v>262</v>
      </c>
      <c r="B80" s="245">
        <v>702</v>
      </c>
      <c r="C80" s="246">
        <v>1094</v>
      </c>
      <c r="D80" s="246">
        <v>64.2</v>
      </c>
      <c r="E80" s="246">
        <v>0.193</v>
      </c>
      <c r="F80" s="246">
        <v>0.20300000000000001</v>
      </c>
      <c r="G80" s="242">
        <v>1</v>
      </c>
      <c r="H80" s="244" t="s">
        <v>422</v>
      </c>
      <c r="I80" s="245">
        <v>328</v>
      </c>
      <c r="J80" s="246">
        <v>1977</v>
      </c>
      <c r="K80" s="246">
        <v>16.600000000000001</v>
      </c>
      <c r="L80" s="246">
        <v>0.36199999999999999</v>
      </c>
      <c r="M80" s="246">
        <v>0.25700000000000001</v>
      </c>
      <c r="N80" s="241">
        <v>0</v>
      </c>
    </row>
    <row r="81" spans="1:14" ht="13.5" thickBot="1" x14ac:dyDescent="0.35">
      <c r="A81" s="244" t="s">
        <v>195</v>
      </c>
      <c r="B81" s="245">
        <v>691</v>
      </c>
      <c r="C81" s="246">
        <v>1844</v>
      </c>
      <c r="D81" s="246">
        <v>37.5</v>
      </c>
      <c r="E81" s="246">
        <v>0.28000000000000003</v>
      </c>
      <c r="F81" s="246">
        <v>0.248</v>
      </c>
      <c r="G81" s="242">
        <v>1</v>
      </c>
      <c r="H81" s="244" t="s">
        <v>423</v>
      </c>
      <c r="I81" s="245">
        <v>322</v>
      </c>
      <c r="J81" s="246">
        <v>482</v>
      </c>
      <c r="K81" s="246">
        <v>66.8</v>
      </c>
      <c r="L81" s="246">
        <v>0.16</v>
      </c>
      <c r="M81" s="246">
        <v>0.16900000000000001</v>
      </c>
      <c r="N81" s="241">
        <v>0</v>
      </c>
    </row>
    <row r="82" spans="1:14" ht="13.5" thickBot="1" x14ac:dyDescent="0.35">
      <c r="A82" s="244" t="s">
        <v>192</v>
      </c>
      <c r="B82" s="245">
        <v>688</v>
      </c>
      <c r="C82" s="246">
        <v>1459</v>
      </c>
      <c r="D82" s="246">
        <v>47.2</v>
      </c>
      <c r="E82" s="246">
        <v>0.24199999999999999</v>
      </c>
      <c r="F82" s="246">
        <v>0.20799999999999999</v>
      </c>
      <c r="G82" s="242">
        <v>1</v>
      </c>
      <c r="H82" s="244" t="s">
        <v>424</v>
      </c>
      <c r="I82" s="245">
        <v>320</v>
      </c>
      <c r="J82" s="246">
        <v>2330</v>
      </c>
      <c r="K82" s="246">
        <v>13.7</v>
      </c>
      <c r="L82" s="246">
        <v>0.28399999999999997</v>
      </c>
      <c r="M82" s="246">
        <v>0.25600000000000001</v>
      </c>
      <c r="N82" s="241">
        <v>0</v>
      </c>
    </row>
    <row r="83" spans="1:14" ht="13.5" thickBot="1" x14ac:dyDescent="0.35">
      <c r="A83" s="244" t="s">
        <v>271</v>
      </c>
      <c r="B83" s="245">
        <v>687</v>
      </c>
      <c r="C83" s="246">
        <v>732</v>
      </c>
      <c r="D83" s="246">
        <v>93.9</v>
      </c>
      <c r="E83" s="246">
        <v>0.18099999999999999</v>
      </c>
      <c r="F83" s="246">
        <v>0.17199999999999999</v>
      </c>
      <c r="G83" s="242">
        <v>1</v>
      </c>
      <c r="H83" s="244" t="s">
        <v>425</v>
      </c>
      <c r="I83" s="245">
        <v>318</v>
      </c>
      <c r="J83" s="246">
        <v>977</v>
      </c>
      <c r="K83" s="246">
        <v>32.5</v>
      </c>
      <c r="L83" s="246">
        <v>0.125</v>
      </c>
      <c r="M83" s="246">
        <v>0.189</v>
      </c>
      <c r="N83" s="241">
        <v>0</v>
      </c>
    </row>
    <row r="84" spans="1:14" ht="13.5" thickBot="1" x14ac:dyDescent="0.35">
      <c r="A84" s="244" t="s">
        <v>198</v>
      </c>
      <c r="B84" s="245">
        <v>683</v>
      </c>
      <c r="C84" s="246">
        <v>985</v>
      </c>
      <c r="D84" s="246">
        <v>69.3</v>
      </c>
      <c r="E84" s="246">
        <v>0.24099999999999999</v>
      </c>
      <c r="F84" s="246">
        <v>0.23400000000000001</v>
      </c>
      <c r="G84" s="242">
        <v>1</v>
      </c>
      <c r="H84" s="244" t="s">
        <v>426</v>
      </c>
      <c r="I84" s="245">
        <v>314</v>
      </c>
      <c r="J84" s="246">
        <v>1187</v>
      </c>
      <c r="K84" s="246">
        <v>26.5</v>
      </c>
      <c r="L84" s="246">
        <v>0.26900000000000002</v>
      </c>
      <c r="M84" s="246">
        <v>0.248</v>
      </c>
      <c r="N84" s="241">
        <v>0</v>
      </c>
    </row>
    <row r="85" spans="1:14" ht="13.5" thickBot="1" x14ac:dyDescent="0.35">
      <c r="A85" s="244" t="s">
        <v>193</v>
      </c>
      <c r="B85" s="245">
        <v>674</v>
      </c>
      <c r="C85" s="246">
        <v>914</v>
      </c>
      <c r="D85" s="246">
        <v>73.7</v>
      </c>
      <c r="E85" s="246">
        <v>0.20499999999999999</v>
      </c>
      <c r="F85" s="246">
        <v>0.186</v>
      </c>
      <c r="G85" s="242">
        <v>1</v>
      </c>
      <c r="H85" s="244" t="s">
        <v>427</v>
      </c>
      <c r="I85" s="245">
        <v>306</v>
      </c>
      <c r="J85" s="246">
        <v>1324</v>
      </c>
      <c r="K85" s="246">
        <v>23.1</v>
      </c>
      <c r="L85" s="246">
        <v>0.24</v>
      </c>
      <c r="M85" s="246">
        <v>0.25900000000000001</v>
      </c>
      <c r="N85" s="241">
        <v>0</v>
      </c>
    </row>
    <row r="86" spans="1:14" ht="13.5" thickBot="1" x14ac:dyDescent="0.35">
      <c r="A86" s="244" t="s">
        <v>230</v>
      </c>
      <c r="B86" s="245">
        <v>674</v>
      </c>
      <c r="C86" s="246">
        <v>1389</v>
      </c>
      <c r="D86" s="246">
        <v>48.5</v>
      </c>
      <c r="E86" s="246">
        <v>0.20599999999999999</v>
      </c>
      <c r="F86" s="246">
        <v>0.24399999999999999</v>
      </c>
      <c r="G86" s="242">
        <v>1</v>
      </c>
      <c r="H86" s="244" t="s">
        <v>428</v>
      </c>
      <c r="I86" s="245">
        <v>304</v>
      </c>
      <c r="J86" s="246">
        <v>1938</v>
      </c>
      <c r="K86" s="246">
        <v>15.7</v>
      </c>
      <c r="L86" s="246">
        <v>0.20599999999999999</v>
      </c>
      <c r="M86" s="246">
        <v>0.251</v>
      </c>
      <c r="N86" s="241">
        <v>0</v>
      </c>
    </row>
    <row r="87" spans="1:14" ht="13.5" thickBot="1" x14ac:dyDescent="0.35">
      <c r="A87" s="244" t="s">
        <v>239</v>
      </c>
      <c r="B87" s="245">
        <v>672</v>
      </c>
      <c r="C87" s="246">
        <v>1340</v>
      </c>
      <c r="D87" s="246">
        <v>50.1</v>
      </c>
      <c r="E87" s="246">
        <v>0.14000000000000001</v>
      </c>
      <c r="F87" s="246">
        <v>0.20300000000000001</v>
      </c>
      <c r="G87" s="242">
        <v>1</v>
      </c>
      <c r="H87" s="244" t="s">
        <v>429</v>
      </c>
      <c r="I87" s="245">
        <v>290</v>
      </c>
      <c r="J87" s="246">
        <v>1367</v>
      </c>
      <c r="K87" s="246">
        <v>21.2</v>
      </c>
      <c r="L87" s="246">
        <v>0.28000000000000003</v>
      </c>
      <c r="M87" s="246">
        <v>0.249</v>
      </c>
      <c r="N87" s="241">
        <v>0</v>
      </c>
    </row>
    <row r="88" spans="1:14" ht="13.5" thickBot="1" x14ac:dyDescent="0.35">
      <c r="A88" s="244" t="s">
        <v>251</v>
      </c>
      <c r="B88" s="245">
        <v>667</v>
      </c>
      <c r="C88" s="246">
        <v>870</v>
      </c>
      <c r="D88" s="246">
        <v>76.7</v>
      </c>
      <c r="E88" s="246">
        <v>0.19400000000000001</v>
      </c>
      <c r="F88" s="246">
        <v>0.221</v>
      </c>
      <c r="G88" s="242">
        <v>1</v>
      </c>
      <c r="H88" s="244" t="s">
        <v>430</v>
      </c>
      <c r="I88" s="245">
        <v>289</v>
      </c>
      <c r="J88" s="246">
        <v>564</v>
      </c>
      <c r="K88" s="246">
        <v>51.2</v>
      </c>
      <c r="L88" s="246">
        <v>0.14299999999999999</v>
      </c>
      <c r="M88" s="246">
        <v>0.20799999999999999</v>
      </c>
      <c r="N88" s="241">
        <v>0</v>
      </c>
    </row>
    <row r="89" spans="1:14" ht="13.5" thickBot="1" x14ac:dyDescent="0.35">
      <c r="A89" s="244" t="s">
        <v>160</v>
      </c>
      <c r="B89" s="245">
        <v>655</v>
      </c>
      <c r="C89" s="246">
        <v>1483</v>
      </c>
      <c r="D89" s="246">
        <v>44.2</v>
      </c>
      <c r="E89" s="246">
        <v>0.22</v>
      </c>
      <c r="F89" s="246">
        <v>0.23400000000000001</v>
      </c>
      <c r="G89" s="242">
        <v>1</v>
      </c>
      <c r="H89" s="244" t="s">
        <v>431</v>
      </c>
      <c r="I89" s="245">
        <v>286</v>
      </c>
      <c r="J89" s="246">
        <v>1092</v>
      </c>
      <c r="K89" s="246">
        <v>26.2</v>
      </c>
      <c r="L89" s="246">
        <v>0.23699999999999999</v>
      </c>
      <c r="M89" s="246">
        <v>0.17399999999999999</v>
      </c>
      <c r="N89" s="241">
        <v>0</v>
      </c>
    </row>
    <row r="90" spans="1:14" ht="13.5" thickBot="1" x14ac:dyDescent="0.35">
      <c r="A90" s="244" t="s">
        <v>278</v>
      </c>
      <c r="B90" s="245">
        <v>652</v>
      </c>
      <c r="C90" s="246">
        <v>714</v>
      </c>
      <c r="D90" s="246">
        <v>91.3</v>
      </c>
      <c r="E90" s="246">
        <v>0.14199999999999999</v>
      </c>
      <c r="F90" s="246">
        <v>0.20300000000000001</v>
      </c>
      <c r="G90" s="242">
        <v>1</v>
      </c>
      <c r="H90" s="244" t="s">
        <v>432</v>
      </c>
      <c r="I90" s="245">
        <v>286</v>
      </c>
      <c r="J90" s="246">
        <v>1617</v>
      </c>
      <c r="K90" s="246">
        <v>17.7</v>
      </c>
      <c r="L90" s="246">
        <v>0.26</v>
      </c>
      <c r="M90" s="246">
        <v>0.23499999999999999</v>
      </c>
      <c r="N90" s="241">
        <v>0</v>
      </c>
    </row>
    <row r="91" spans="1:14" ht="13.5" thickBot="1" x14ac:dyDescent="0.35">
      <c r="A91" s="244" t="s">
        <v>197</v>
      </c>
      <c r="B91" s="245">
        <v>650</v>
      </c>
      <c r="C91" s="246">
        <v>1174</v>
      </c>
      <c r="D91" s="246">
        <v>55.4</v>
      </c>
      <c r="E91" s="246">
        <v>0.21099999999999999</v>
      </c>
      <c r="F91" s="246">
        <v>0.191</v>
      </c>
      <c r="G91" s="242">
        <v>1</v>
      </c>
      <c r="H91" s="244" t="s">
        <v>433</v>
      </c>
      <c r="I91" s="245">
        <v>281</v>
      </c>
      <c r="J91" s="246">
        <v>2500</v>
      </c>
      <c r="K91" s="246">
        <v>11.2</v>
      </c>
      <c r="L91" s="246">
        <v>0.40899999999999997</v>
      </c>
      <c r="M91" s="246">
        <v>0.307</v>
      </c>
      <c r="N91" s="241">
        <v>0</v>
      </c>
    </row>
    <row r="92" spans="1:14" ht="13.5" thickBot="1" x14ac:dyDescent="0.35">
      <c r="A92" s="244" t="s">
        <v>283</v>
      </c>
      <c r="B92" s="245">
        <v>635</v>
      </c>
      <c r="C92" s="246">
        <v>992</v>
      </c>
      <c r="D92" s="246">
        <v>64</v>
      </c>
      <c r="E92" s="246">
        <v>0.192</v>
      </c>
      <c r="F92" s="246">
        <v>0.20699999999999999</v>
      </c>
      <c r="G92" s="242">
        <v>1</v>
      </c>
      <c r="H92" s="244" t="s">
        <v>434</v>
      </c>
      <c r="I92" s="245">
        <v>272</v>
      </c>
      <c r="J92" s="246">
        <v>1900</v>
      </c>
      <c r="K92" s="246">
        <v>14.3</v>
      </c>
      <c r="L92" s="246">
        <v>0.32100000000000001</v>
      </c>
      <c r="M92" s="246">
        <v>0.26700000000000002</v>
      </c>
      <c r="N92" s="241">
        <v>0</v>
      </c>
    </row>
    <row r="93" spans="1:14" ht="13.5" thickBot="1" x14ac:dyDescent="0.35">
      <c r="A93" s="244" t="s">
        <v>238</v>
      </c>
      <c r="B93" s="245">
        <v>635</v>
      </c>
      <c r="C93" s="246">
        <v>1391</v>
      </c>
      <c r="D93" s="246">
        <v>45.7</v>
      </c>
      <c r="E93" s="246">
        <v>0.17899999999999999</v>
      </c>
      <c r="F93" s="246">
        <v>0.245</v>
      </c>
      <c r="G93" s="242">
        <v>1</v>
      </c>
      <c r="H93" s="244" t="s">
        <v>435</v>
      </c>
      <c r="I93" s="245">
        <v>271</v>
      </c>
      <c r="J93" s="246">
        <v>1175</v>
      </c>
      <c r="K93" s="246">
        <v>23.1</v>
      </c>
      <c r="L93" s="246">
        <v>0.29699999999999999</v>
      </c>
      <c r="M93" s="246">
        <v>0.23699999999999999</v>
      </c>
      <c r="N93" s="241">
        <v>0</v>
      </c>
    </row>
    <row r="94" spans="1:14" ht="13.5" thickBot="1" x14ac:dyDescent="0.35">
      <c r="A94" s="244" t="s">
        <v>224</v>
      </c>
      <c r="B94" s="245">
        <v>634</v>
      </c>
      <c r="C94" s="246">
        <v>1027</v>
      </c>
      <c r="D94" s="246">
        <v>61.7</v>
      </c>
      <c r="E94" s="246">
        <v>0.22500000000000001</v>
      </c>
      <c r="F94" s="246">
        <v>0.24399999999999999</v>
      </c>
      <c r="G94" s="242">
        <v>1</v>
      </c>
      <c r="H94" s="244" t="s">
        <v>132</v>
      </c>
      <c r="I94" s="245">
        <v>268</v>
      </c>
      <c r="J94" s="246">
        <v>2009</v>
      </c>
      <c r="K94" s="246">
        <v>13.3</v>
      </c>
      <c r="L94" s="246">
        <v>0.17</v>
      </c>
      <c r="M94" s="246">
        <v>0.21299999999999999</v>
      </c>
      <c r="N94" s="241">
        <v>0</v>
      </c>
    </row>
    <row r="95" spans="1:14" ht="13.5" thickBot="1" x14ac:dyDescent="0.35">
      <c r="A95" s="244" t="s">
        <v>255</v>
      </c>
      <c r="B95" s="245">
        <v>632</v>
      </c>
      <c r="C95" s="246">
        <v>719</v>
      </c>
      <c r="D95" s="246">
        <v>87.9</v>
      </c>
      <c r="E95" s="246">
        <v>0.255</v>
      </c>
      <c r="F95" s="246">
        <v>0.24399999999999999</v>
      </c>
      <c r="G95" s="242">
        <v>1</v>
      </c>
      <c r="H95" s="244" t="s">
        <v>436</v>
      </c>
      <c r="I95" s="245">
        <v>268</v>
      </c>
      <c r="J95" s="246">
        <v>2193</v>
      </c>
      <c r="K95" s="246">
        <v>12.2</v>
      </c>
      <c r="L95" s="246">
        <v>0.34399999999999997</v>
      </c>
      <c r="M95" s="246">
        <v>0.311</v>
      </c>
      <c r="N95" s="241">
        <v>0</v>
      </c>
    </row>
    <row r="96" spans="1:14" ht="13.5" thickBot="1" x14ac:dyDescent="0.35">
      <c r="A96" s="244" t="s">
        <v>268</v>
      </c>
      <c r="B96" s="245">
        <v>630</v>
      </c>
      <c r="C96" s="246">
        <v>794</v>
      </c>
      <c r="D96" s="246">
        <v>79.3</v>
      </c>
      <c r="E96" s="246">
        <v>0.25</v>
      </c>
      <c r="F96" s="246">
        <v>0.22500000000000001</v>
      </c>
      <c r="G96" s="242">
        <v>1</v>
      </c>
      <c r="H96" s="244" t="s">
        <v>437</v>
      </c>
      <c r="I96" s="245">
        <v>267</v>
      </c>
      <c r="J96" s="246">
        <v>1575</v>
      </c>
      <c r="K96" s="246">
        <v>17</v>
      </c>
      <c r="L96" s="246">
        <v>0.246</v>
      </c>
      <c r="M96" s="246">
        <v>0.27500000000000002</v>
      </c>
      <c r="N96" s="241">
        <v>0</v>
      </c>
    </row>
    <row r="97" spans="1:14" ht="13.5" thickBot="1" x14ac:dyDescent="0.35">
      <c r="A97" s="244" t="s">
        <v>344</v>
      </c>
      <c r="B97" s="245">
        <v>623</v>
      </c>
      <c r="C97" s="246">
        <v>1182</v>
      </c>
      <c r="D97" s="246">
        <v>52.7</v>
      </c>
      <c r="E97" s="246">
        <v>0.23200000000000001</v>
      </c>
      <c r="F97" s="246">
        <v>0.21</v>
      </c>
      <c r="G97" s="242">
        <v>1</v>
      </c>
      <c r="H97" s="244" t="s">
        <v>438</v>
      </c>
      <c r="I97" s="245">
        <v>264</v>
      </c>
      <c r="J97" s="246">
        <v>593</v>
      </c>
      <c r="K97" s="246">
        <v>44.5</v>
      </c>
      <c r="L97" s="246">
        <v>0.18</v>
      </c>
      <c r="M97" s="246">
        <v>0.183</v>
      </c>
      <c r="N97" s="241">
        <v>0</v>
      </c>
    </row>
    <row r="98" spans="1:14" ht="13.5" thickBot="1" x14ac:dyDescent="0.35">
      <c r="A98" s="244" t="s">
        <v>345</v>
      </c>
      <c r="B98" s="245">
        <v>620</v>
      </c>
      <c r="C98" s="246">
        <v>1517</v>
      </c>
      <c r="D98" s="246">
        <v>40.9</v>
      </c>
      <c r="E98" s="246">
        <v>0.23599999999999999</v>
      </c>
      <c r="F98" s="246">
        <v>0.24299999999999999</v>
      </c>
      <c r="G98" s="242">
        <v>1</v>
      </c>
      <c r="H98" s="244" t="s">
        <v>439</v>
      </c>
      <c r="I98" s="245">
        <v>264</v>
      </c>
      <c r="J98" s="246">
        <v>2701</v>
      </c>
      <c r="K98" s="246">
        <v>9.8000000000000007</v>
      </c>
      <c r="L98" s="246">
        <v>0.34</v>
      </c>
      <c r="M98" s="246">
        <v>0.27300000000000002</v>
      </c>
      <c r="N98" s="241">
        <v>0</v>
      </c>
    </row>
    <row r="99" spans="1:14" ht="13.5" thickBot="1" x14ac:dyDescent="0.35">
      <c r="A99" s="244" t="s">
        <v>169</v>
      </c>
      <c r="B99" s="245">
        <v>611</v>
      </c>
      <c r="C99" s="246">
        <v>2328</v>
      </c>
      <c r="D99" s="246">
        <v>26.2</v>
      </c>
      <c r="E99" s="246">
        <v>0.21099999999999999</v>
      </c>
      <c r="F99" s="246">
        <v>0.21299999999999999</v>
      </c>
      <c r="G99" s="242">
        <v>1</v>
      </c>
      <c r="H99" s="244" t="s">
        <v>440</v>
      </c>
      <c r="I99" s="245">
        <v>254</v>
      </c>
      <c r="J99" s="246">
        <v>1265</v>
      </c>
      <c r="K99" s="246">
        <v>20.100000000000001</v>
      </c>
      <c r="L99" s="246">
        <v>0.27900000000000003</v>
      </c>
      <c r="M99" s="246">
        <v>0.25900000000000001</v>
      </c>
      <c r="N99" s="241">
        <v>0</v>
      </c>
    </row>
    <row r="100" spans="1:14" ht="13.5" thickBot="1" x14ac:dyDescent="0.35">
      <c r="A100" s="244" t="s">
        <v>346</v>
      </c>
      <c r="B100" s="245">
        <v>608</v>
      </c>
      <c r="C100" s="246">
        <v>723</v>
      </c>
      <c r="D100" s="246">
        <v>84.1</v>
      </c>
      <c r="E100" s="246">
        <v>0.30099999999999999</v>
      </c>
      <c r="F100" s="246">
        <v>0.22</v>
      </c>
      <c r="G100" s="242">
        <v>1</v>
      </c>
      <c r="H100" s="244" t="s">
        <v>441</v>
      </c>
      <c r="I100" s="245">
        <v>253</v>
      </c>
      <c r="J100" s="246">
        <v>2389</v>
      </c>
      <c r="K100" s="246">
        <v>10.6</v>
      </c>
      <c r="L100" s="246">
        <v>0.44700000000000001</v>
      </c>
      <c r="M100" s="246">
        <v>0.38</v>
      </c>
      <c r="N100" s="241">
        <v>0</v>
      </c>
    </row>
    <row r="101" spans="1:14" ht="13.5" thickBot="1" x14ac:dyDescent="0.35">
      <c r="A101" s="244" t="s">
        <v>280</v>
      </c>
      <c r="B101" s="245">
        <v>606</v>
      </c>
      <c r="C101" s="246">
        <v>804</v>
      </c>
      <c r="D101" s="246">
        <v>75.400000000000006</v>
      </c>
      <c r="E101" s="246">
        <v>0.217</v>
      </c>
      <c r="F101" s="246">
        <v>0.23499999999999999</v>
      </c>
      <c r="G101" s="242">
        <v>1</v>
      </c>
      <c r="H101" s="244" t="s">
        <v>442</v>
      </c>
      <c r="I101" s="245">
        <v>251</v>
      </c>
      <c r="J101" s="246">
        <v>1161</v>
      </c>
      <c r="K101" s="246">
        <v>21.6</v>
      </c>
      <c r="L101" s="246">
        <v>0.19</v>
      </c>
      <c r="M101" s="246">
        <v>0.17</v>
      </c>
      <c r="N101" s="241">
        <v>0</v>
      </c>
    </row>
    <row r="102" spans="1:14" ht="13.5" thickBot="1" x14ac:dyDescent="0.35">
      <c r="A102" s="244" t="s">
        <v>282</v>
      </c>
      <c r="B102" s="245">
        <v>599</v>
      </c>
      <c r="C102" s="246">
        <v>699</v>
      </c>
      <c r="D102" s="246">
        <v>85.7</v>
      </c>
      <c r="E102" s="246">
        <v>0.127</v>
      </c>
      <c r="F102" s="246">
        <v>0.17499999999999999</v>
      </c>
      <c r="G102" s="242">
        <v>1</v>
      </c>
      <c r="H102" s="244" t="s">
        <v>443</v>
      </c>
      <c r="I102" s="245">
        <v>250</v>
      </c>
      <c r="J102" s="246">
        <v>2340</v>
      </c>
      <c r="K102" s="246">
        <v>10.7</v>
      </c>
      <c r="L102" s="246">
        <v>0.29199999999999998</v>
      </c>
      <c r="M102" s="246">
        <v>0.29899999999999999</v>
      </c>
      <c r="N102" s="241">
        <v>0</v>
      </c>
    </row>
    <row r="103" spans="1:14" ht="13.5" thickBot="1" x14ac:dyDescent="0.35">
      <c r="A103" s="244" t="s">
        <v>347</v>
      </c>
      <c r="B103" s="245">
        <v>587</v>
      </c>
      <c r="C103" s="246">
        <v>787</v>
      </c>
      <c r="D103" s="246">
        <v>74.599999999999994</v>
      </c>
      <c r="E103" s="246">
        <v>0.186</v>
      </c>
      <c r="F103" s="246">
        <v>0.17899999999999999</v>
      </c>
      <c r="G103" s="242">
        <v>1</v>
      </c>
      <c r="H103" s="244" t="s">
        <v>444</v>
      </c>
      <c r="I103" s="245">
        <v>247</v>
      </c>
      <c r="J103" s="246">
        <v>810</v>
      </c>
      <c r="K103" s="246">
        <v>30.5</v>
      </c>
      <c r="L103" s="246">
        <v>0.20499999999999999</v>
      </c>
      <c r="M103" s="246">
        <v>0.22900000000000001</v>
      </c>
      <c r="N103" s="241">
        <v>0</v>
      </c>
    </row>
    <row r="104" spans="1:14" ht="13.5" thickBot="1" x14ac:dyDescent="0.35">
      <c r="A104" s="244" t="s">
        <v>254</v>
      </c>
      <c r="B104" s="245">
        <v>585</v>
      </c>
      <c r="C104" s="246">
        <v>1074</v>
      </c>
      <c r="D104" s="246">
        <v>54.5</v>
      </c>
      <c r="E104" s="246">
        <v>0.19</v>
      </c>
      <c r="F104" s="246">
        <v>0.216</v>
      </c>
      <c r="G104" s="242">
        <v>1</v>
      </c>
      <c r="H104" s="244" t="s">
        <v>445</v>
      </c>
      <c r="I104" s="245">
        <v>245</v>
      </c>
      <c r="J104" s="246">
        <v>793</v>
      </c>
      <c r="K104" s="246">
        <v>30.9</v>
      </c>
      <c r="L104" s="246">
        <v>0.2</v>
      </c>
      <c r="M104" s="246">
        <v>0.193</v>
      </c>
      <c r="N104" s="241">
        <v>0</v>
      </c>
    </row>
    <row r="105" spans="1:14" ht="13.5" thickBot="1" x14ac:dyDescent="0.35">
      <c r="A105" s="244" t="s">
        <v>267</v>
      </c>
      <c r="B105" s="245">
        <v>580</v>
      </c>
      <c r="C105" s="246">
        <v>1109</v>
      </c>
      <c r="D105" s="246">
        <v>52.3</v>
      </c>
      <c r="E105" s="246">
        <v>0.19700000000000001</v>
      </c>
      <c r="F105" s="246">
        <v>0.20599999999999999</v>
      </c>
      <c r="G105" s="242">
        <v>1</v>
      </c>
      <c r="H105" s="244" t="s">
        <v>154</v>
      </c>
      <c r="I105" s="245">
        <v>239</v>
      </c>
      <c r="J105" s="246">
        <v>1900</v>
      </c>
      <c r="K105" s="246">
        <v>12.6</v>
      </c>
      <c r="L105" s="246">
        <v>0.216</v>
      </c>
      <c r="M105" s="246">
        <v>0.217</v>
      </c>
      <c r="N105" s="241">
        <v>0</v>
      </c>
    </row>
    <row r="106" spans="1:14" ht="13.5" thickBot="1" x14ac:dyDescent="0.35">
      <c r="A106" s="244" t="s">
        <v>263</v>
      </c>
      <c r="B106" s="245">
        <v>580</v>
      </c>
      <c r="C106" s="246">
        <v>967</v>
      </c>
      <c r="D106" s="246">
        <v>60</v>
      </c>
      <c r="E106" s="246">
        <v>0.25</v>
      </c>
      <c r="F106" s="246">
        <v>0.23400000000000001</v>
      </c>
      <c r="G106" s="242">
        <v>1</v>
      </c>
      <c r="H106" s="244" t="s">
        <v>446</v>
      </c>
      <c r="I106" s="245">
        <v>238</v>
      </c>
      <c r="J106" s="246">
        <v>1522</v>
      </c>
      <c r="K106" s="246">
        <v>15.6</v>
      </c>
      <c r="L106" s="246">
        <v>0.25900000000000001</v>
      </c>
      <c r="M106" s="246">
        <v>0.26800000000000002</v>
      </c>
      <c r="N106" s="241">
        <v>0</v>
      </c>
    </row>
    <row r="107" spans="1:14" ht="13.5" thickBot="1" x14ac:dyDescent="0.35">
      <c r="A107" s="244" t="s">
        <v>348</v>
      </c>
      <c r="B107" s="245">
        <v>541</v>
      </c>
      <c r="C107" s="246">
        <v>1048</v>
      </c>
      <c r="D107" s="246">
        <v>51.6</v>
      </c>
      <c r="E107" s="246">
        <v>0.215</v>
      </c>
      <c r="F107" s="246">
        <v>0.224</v>
      </c>
      <c r="G107" s="242">
        <v>1</v>
      </c>
      <c r="H107" s="244" t="s">
        <v>447</v>
      </c>
      <c r="I107" s="245">
        <v>235</v>
      </c>
      <c r="J107" s="246">
        <v>602</v>
      </c>
      <c r="K107" s="246">
        <v>39</v>
      </c>
      <c r="L107" s="246">
        <v>0.33900000000000002</v>
      </c>
      <c r="M107" s="246">
        <v>0.30399999999999999</v>
      </c>
      <c r="N107" s="241">
        <v>0</v>
      </c>
    </row>
    <row r="108" spans="1:14" ht="13.5" thickBot="1" x14ac:dyDescent="0.35">
      <c r="A108" s="244" t="s">
        <v>199</v>
      </c>
      <c r="B108" s="245">
        <v>529</v>
      </c>
      <c r="C108" s="246">
        <v>614</v>
      </c>
      <c r="D108" s="246">
        <v>86.2</v>
      </c>
      <c r="E108" s="246">
        <v>0.254</v>
      </c>
      <c r="F108" s="246">
        <v>0.23699999999999999</v>
      </c>
      <c r="G108" s="242">
        <v>1</v>
      </c>
      <c r="H108" s="244" t="s">
        <v>448</v>
      </c>
      <c r="I108" s="245">
        <v>235</v>
      </c>
      <c r="J108" s="246">
        <v>1437</v>
      </c>
      <c r="K108" s="246">
        <v>16.399999999999999</v>
      </c>
      <c r="L108" s="246">
        <v>0.25</v>
      </c>
      <c r="M108" s="246">
        <v>0.27400000000000002</v>
      </c>
      <c r="N108" s="241">
        <v>0</v>
      </c>
    </row>
    <row r="109" spans="1:14" ht="13.5" thickBot="1" x14ac:dyDescent="0.35">
      <c r="A109" s="244" t="s">
        <v>349</v>
      </c>
      <c r="B109" s="245">
        <v>523</v>
      </c>
      <c r="C109" s="246">
        <v>623</v>
      </c>
      <c r="D109" s="246">
        <v>83.9</v>
      </c>
      <c r="E109" s="246">
        <v>0.20200000000000001</v>
      </c>
      <c r="F109" s="246">
        <v>0.221</v>
      </c>
      <c r="G109" s="242">
        <v>1</v>
      </c>
      <c r="H109" s="244" t="s">
        <v>159</v>
      </c>
      <c r="I109" s="245">
        <v>235</v>
      </c>
      <c r="J109" s="246">
        <v>1942</v>
      </c>
      <c r="K109" s="246">
        <v>12.1</v>
      </c>
      <c r="L109" s="246">
        <v>0.25700000000000001</v>
      </c>
      <c r="M109" s="246">
        <v>0.252</v>
      </c>
      <c r="N109" s="241">
        <v>0</v>
      </c>
    </row>
    <row r="110" spans="1:14" ht="13.5" thickBot="1" x14ac:dyDescent="0.35">
      <c r="A110" s="244" t="s">
        <v>214</v>
      </c>
      <c r="B110" s="245">
        <v>520</v>
      </c>
      <c r="C110" s="246">
        <v>2490</v>
      </c>
      <c r="D110" s="246">
        <v>20.9</v>
      </c>
      <c r="E110" s="246">
        <v>0.248</v>
      </c>
      <c r="F110" s="246">
        <v>0.26700000000000002</v>
      </c>
      <c r="G110" s="242">
        <v>1</v>
      </c>
      <c r="H110" s="244" t="s">
        <v>449</v>
      </c>
      <c r="I110" s="245">
        <v>231</v>
      </c>
      <c r="J110" s="246">
        <v>1717</v>
      </c>
      <c r="K110" s="246">
        <v>13.5</v>
      </c>
      <c r="L110" s="246">
        <v>0.246</v>
      </c>
      <c r="M110" s="246">
        <v>0.23300000000000001</v>
      </c>
      <c r="N110" s="241">
        <v>0</v>
      </c>
    </row>
    <row r="111" spans="1:14" ht="13.5" thickBot="1" x14ac:dyDescent="0.35">
      <c r="A111" s="244" t="s">
        <v>241</v>
      </c>
      <c r="B111" s="245">
        <v>518</v>
      </c>
      <c r="C111" s="246">
        <v>2665</v>
      </c>
      <c r="D111" s="246">
        <v>19.399999999999999</v>
      </c>
      <c r="E111" s="246">
        <v>0.23699999999999999</v>
      </c>
      <c r="F111" s="246">
        <v>0.191</v>
      </c>
      <c r="G111" s="242">
        <v>1</v>
      </c>
      <c r="H111" s="244" t="s">
        <v>450</v>
      </c>
      <c r="I111" s="245">
        <v>229</v>
      </c>
      <c r="J111" s="246">
        <v>1187</v>
      </c>
      <c r="K111" s="246">
        <v>19.3</v>
      </c>
      <c r="L111" s="246">
        <v>0.24099999999999999</v>
      </c>
      <c r="M111" s="246">
        <v>0.27800000000000002</v>
      </c>
      <c r="N111" s="241">
        <v>0</v>
      </c>
    </row>
    <row r="112" spans="1:14" ht="13.5" thickBot="1" x14ac:dyDescent="0.35">
      <c r="A112" s="244" t="s">
        <v>350</v>
      </c>
      <c r="B112" s="245">
        <v>493</v>
      </c>
      <c r="C112" s="246">
        <v>1807</v>
      </c>
      <c r="D112" s="246">
        <v>27.3</v>
      </c>
      <c r="E112" s="246">
        <v>0.17799999999999999</v>
      </c>
      <c r="F112" s="246">
        <v>0.157</v>
      </c>
      <c r="G112" s="242">
        <v>1</v>
      </c>
      <c r="H112" s="244" t="s">
        <v>171</v>
      </c>
      <c r="I112" s="245">
        <v>224</v>
      </c>
      <c r="J112" s="246">
        <v>2742</v>
      </c>
      <c r="K112" s="246">
        <v>8.1999999999999993</v>
      </c>
      <c r="L112" s="246">
        <v>0.16300000000000001</v>
      </c>
      <c r="M112" s="246">
        <v>0.23</v>
      </c>
      <c r="N112" s="241">
        <v>0</v>
      </c>
    </row>
    <row r="113" spans="1:14" ht="13.5" thickBot="1" x14ac:dyDescent="0.35">
      <c r="A113" s="244" t="s">
        <v>276</v>
      </c>
      <c r="B113" s="245">
        <v>493</v>
      </c>
      <c r="C113" s="246">
        <v>827</v>
      </c>
      <c r="D113" s="246">
        <v>59.6</v>
      </c>
      <c r="E113" s="246">
        <v>0.20200000000000001</v>
      </c>
      <c r="F113" s="246">
        <v>0.215</v>
      </c>
      <c r="G113" s="242">
        <v>1</v>
      </c>
      <c r="H113" s="244" t="s">
        <v>451</v>
      </c>
      <c r="I113" s="245">
        <v>224</v>
      </c>
      <c r="J113" s="246">
        <v>2092</v>
      </c>
      <c r="K113" s="246">
        <v>10.7</v>
      </c>
      <c r="L113" s="246">
        <v>0.222</v>
      </c>
      <c r="M113" s="246">
        <v>0.254</v>
      </c>
      <c r="N113" s="241">
        <v>0</v>
      </c>
    </row>
    <row r="114" spans="1:14" ht="13.5" thickBot="1" x14ac:dyDescent="0.35">
      <c r="A114" s="244" t="s">
        <v>218</v>
      </c>
      <c r="B114" s="245">
        <v>492</v>
      </c>
      <c r="C114" s="246">
        <v>1720</v>
      </c>
      <c r="D114" s="246">
        <v>28.6</v>
      </c>
      <c r="E114" s="246">
        <v>0.218</v>
      </c>
      <c r="F114" s="246">
        <v>0.216</v>
      </c>
      <c r="G114" s="242">
        <v>1</v>
      </c>
      <c r="H114" s="244" t="s">
        <v>452</v>
      </c>
      <c r="I114" s="245">
        <v>217</v>
      </c>
      <c r="J114" s="246">
        <v>1486</v>
      </c>
      <c r="K114" s="246">
        <v>14.6</v>
      </c>
      <c r="L114" s="246">
        <v>0.28899999999999998</v>
      </c>
      <c r="M114" s="246">
        <v>0.28999999999999998</v>
      </c>
      <c r="N114" s="241">
        <v>0</v>
      </c>
    </row>
    <row r="115" spans="1:14" ht="13.5" thickBot="1" x14ac:dyDescent="0.35">
      <c r="A115" s="244" t="s">
        <v>250</v>
      </c>
      <c r="B115" s="245">
        <v>479</v>
      </c>
      <c r="C115" s="246">
        <v>861</v>
      </c>
      <c r="D115" s="246">
        <v>55.6</v>
      </c>
      <c r="E115" s="246">
        <v>0.17299999999999999</v>
      </c>
      <c r="F115" s="246">
        <v>0.19700000000000001</v>
      </c>
      <c r="G115" s="242">
        <v>1</v>
      </c>
      <c r="H115" s="244" t="s">
        <v>453</v>
      </c>
      <c r="I115" s="245">
        <v>215</v>
      </c>
      <c r="J115" s="246">
        <v>1912</v>
      </c>
      <c r="K115" s="246">
        <v>11.2</v>
      </c>
      <c r="L115" s="246">
        <v>0.34</v>
      </c>
      <c r="M115" s="246">
        <v>0.29099999999999998</v>
      </c>
      <c r="N115" s="241">
        <v>0</v>
      </c>
    </row>
    <row r="116" spans="1:14" ht="13.5" thickBot="1" x14ac:dyDescent="0.35">
      <c r="A116" s="244" t="s">
        <v>351</v>
      </c>
      <c r="B116" s="245">
        <v>473</v>
      </c>
      <c r="C116" s="246">
        <v>543</v>
      </c>
      <c r="D116" s="246">
        <v>87.1</v>
      </c>
      <c r="E116" s="246">
        <v>0.27100000000000002</v>
      </c>
      <c r="F116" s="246">
        <v>0.224</v>
      </c>
      <c r="G116" s="242">
        <v>1</v>
      </c>
      <c r="H116" s="244" t="s">
        <v>454</v>
      </c>
      <c r="I116" s="245">
        <v>206</v>
      </c>
      <c r="J116" s="246">
        <v>1609</v>
      </c>
      <c r="K116" s="246">
        <v>12.8</v>
      </c>
      <c r="L116" s="246">
        <v>0.214</v>
      </c>
      <c r="M116" s="246">
        <v>0.248</v>
      </c>
      <c r="N116" s="241">
        <v>0</v>
      </c>
    </row>
    <row r="117" spans="1:14" ht="13.5" thickBot="1" x14ac:dyDescent="0.35">
      <c r="A117" s="244" t="s">
        <v>285</v>
      </c>
      <c r="B117" s="245">
        <v>471</v>
      </c>
      <c r="C117" s="246">
        <v>590</v>
      </c>
      <c r="D117" s="246">
        <v>79.8</v>
      </c>
      <c r="E117" s="246">
        <v>0.26300000000000001</v>
      </c>
      <c r="F117" s="246">
        <v>0.32500000000000001</v>
      </c>
      <c r="G117" s="242">
        <v>1</v>
      </c>
      <c r="H117" s="244" t="s">
        <v>455</v>
      </c>
      <c r="I117" s="245">
        <v>206</v>
      </c>
      <c r="J117" s="246">
        <v>2082</v>
      </c>
      <c r="K117" s="246">
        <v>9.9</v>
      </c>
      <c r="L117" s="246">
        <v>0.16300000000000001</v>
      </c>
      <c r="M117" s="246">
        <v>0.23599999999999999</v>
      </c>
      <c r="N117" s="241">
        <v>0</v>
      </c>
    </row>
    <row r="118" spans="1:14" ht="13.5" thickBot="1" x14ac:dyDescent="0.35">
      <c r="A118" s="244" t="s">
        <v>261</v>
      </c>
      <c r="B118" s="245">
        <v>470</v>
      </c>
      <c r="C118" s="246">
        <v>2525</v>
      </c>
      <c r="D118" s="246">
        <v>18.600000000000001</v>
      </c>
      <c r="E118" s="246">
        <v>0.26400000000000001</v>
      </c>
      <c r="F118" s="246">
        <v>0.28699999999999998</v>
      </c>
      <c r="G118" s="242">
        <v>1</v>
      </c>
      <c r="H118" s="244" t="s">
        <v>354</v>
      </c>
      <c r="I118" s="245">
        <v>204</v>
      </c>
      <c r="J118" s="246">
        <v>1888</v>
      </c>
      <c r="K118" s="246">
        <v>10.8</v>
      </c>
      <c r="L118" s="246">
        <v>0.16700000000000001</v>
      </c>
      <c r="M118" s="246">
        <v>0.23</v>
      </c>
      <c r="N118" s="241">
        <v>0</v>
      </c>
    </row>
    <row r="119" spans="1:14" ht="13.5" thickBot="1" x14ac:dyDescent="0.35">
      <c r="A119" s="244" t="s">
        <v>352</v>
      </c>
      <c r="B119" s="245">
        <v>464</v>
      </c>
      <c r="C119" s="246">
        <v>710</v>
      </c>
      <c r="D119" s="246">
        <v>65.400000000000006</v>
      </c>
      <c r="E119" s="246">
        <v>0.19800000000000001</v>
      </c>
      <c r="F119" s="246">
        <v>0.20599999999999999</v>
      </c>
      <c r="G119" s="242">
        <v>1</v>
      </c>
      <c r="H119" s="244" t="s">
        <v>456</v>
      </c>
      <c r="I119" s="245">
        <v>197</v>
      </c>
      <c r="J119" s="246">
        <v>2596</v>
      </c>
      <c r="K119" s="246">
        <v>7.6</v>
      </c>
      <c r="L119" s="246">
        <v>0.311</v>
      </c>
      <c r="M119" s="246">
        <v>0.34</v>
      </c>
      <c r="N119" s="241">
        <v>0</v>
      </c>
    </row>
    <row r="120" spans="1:14" ht="13.5" thickBot="1" x14ac:dyDescent="0.35">
      <c r="A120" s="244" t="s">
        <v>248</v>
      </c>
      <c r="B120" s="245">
        <v>464</v>
      </c>
      <c r="C120" s="246">
        <v>2033</v>
      </c>
      <c r="D120" s="246">
        <v>22.8</v>
      </c>
      <c r="E120" s="246">
        <v>0.23400000000000001</v>
      </c>
      <c r="F120" s="246">
        <v>0.214</v>
      </c>
      <c r="G120" s="242">
        <v>1</v>
      </c>
      <c r="H120" s="244" t="s">
        <v>457</v>
      </c>
      <c r="I120" s="245">
        <v>196</v>
      </c>
      <c r="J120" s="246">
        <v>326</v>
      </c>
      <c r="K120" s="246">
        <v>60.1</v>
      </c>
      <c r="L120" s="246">
        <v>5.3999999999999999E-2</v>
      </c>
      <c r="M120" s="246">
        <v>0.14399999999999999</v>
      </c>
      <c r="N120" s="241">
        <v>0</v>
      </c>
    </row>
    <row r="121" spans="1:14" ht="13.5" thickBot="1" x14ac:dyDescent="0.35">
      <c r="A121" s="244" t="s">
        <v>272</v>
      </c>
      <c r="B121" s="245">
        <v>459</v>
      </c>
      <c r="C121" s="246">
        <v>1216</v>
      </c>
      <c r="D121" s="246">
        <v>37.700000000000003</v>
      </c>
      <c r="E121" s="246">
        <v>0.28899999999999998</v>
      </c>
      <c r="F121" s="246">
        <v>0.32</v>
      </c>
      <c r="G121" s="242">
        <v>1</v>
      </c>
      <c r="H121" s="244" t="s">
        <v>458</v>
      </c>
      <c r="I121" s="245">
        <v>196</v>
      </c>
      <c r="J121" s="246">
        <v>1514</v>
      </c>
      <c r="K121" s="246">
        <v>12.9</v>
      </c>
      <c r="L121" s="246">
        <v>0.24</v>
      </c>
      <c r="M121" s="246">
        <v>0.20599999999999999</v>
      </c>
      <c r="N121" s="241">
        <v>0</v>
      </c>
    </row>
    <row r="122" spans="1:14" ht="13.5" thickBot="1" x14ac:dyDescent="0.35">
      <c r="A122" s="244" t="s">
        <v>253</v>
      </c>
      <c r="B122" s="245">
        <v>457</v>
      </c>
      <c r="C122" s="246">
        <v>1420</v>
      </c>
      <c r="D122" s="246">
        <v>32.200000000000003</v>
      </c>
      <c r="E122" s="246">
        <v>0.20200000000000001</v>
      </c>
      <c r="F122" s="246">
        <v>0.184</v>
      </c>
      <c r="G122" s="242">
        <v>1</v>
      </c>
      <c r="H122" s="244" t="s">
        <v>164</v>
      </c>
      <c r="I122" s="245">
        <v>188</v>
      </c>
      <c r="J122" s="246">
        <v>2159</v>
      </c>
      <c r="K122" s="246">
        <v>8.6999999999999993</v>
      </c>
      <c r="L122" s="246">
        <v>0.25600000000000001</v>
      </c>
      <c r="M122" s="246">
        <v>0.254</v>
      </c>
      <c r="N122" s="241">
        <v>0</v>
      </c>
    </row>
    <row r="123" spans="1:14" ht="13.5" thickBot="1" x14ac:dyDescent="0.35">
      <c r="A123" s="244" t="s">
        <v>353</v>
      </c>
      <c r="B123" s="245">
        <v>454</v>
      </c>
      <c r="C123" s="246">
        <v>822</v>
      </c>
      <c r="D123" s="246">
        <v>55.2</v>
      </c>
      <c r="E123" s="246">
        <v>0.17299999999999999</v>
      </c>
      <c r="F123" s="246">
        <v>0.23899999999999999</v>
      </c>
      <c r="G123" s="242">
        <v>1</v>
      </c>
      <c r="H123" s="244" t="s">
        <v>459</v>
      </c>
      <c r="I123" s="245">
        <v>187</v>
      </c>
      <c r="J123" s="246">
        <v>354</v>
      </c>
      <c r="K123" s="246">
        <v>52.8</v>
      </c>
      <c r="L123" s="246">
        <v>0.14599999999999999</v>
      </c>
      <c r="M123" s="246">
        <v>0.24099999999999999</v>
      </c>
      <c r="N123" s="241">
        <v>0</v>
      </c>
    </row>
    <row r="124" spans="1:14" ht="13.5" thickBot="1" x14ac:dyDescent="0.35">
      <c r="A124" s="244" t="s">
        <v>354</v>
      </c>
      <c r="B124" s="245">
        <v>449</v>
      </c>
      <c r="C124" s="246">
        <v>1888</v>
      </c>
      <c r="D124" s="246">
        <v>23.8</v>
      </c>
      <c r="E124" s="246">
        <v>0.159</v>
      </c>
      <c r="F124" s="246">
        <v>0.16900000000000001</v>
      </c>
      <c r="G124" s="242">
        <v>1</v>
      </c>
      <c r="H124" s="244" t="s">
        <v>460</v>
      </c>
      <c r="I124" s="245">
        <v>187</v>
      </c>
      <c r="J124" s="246">
        <v>1812</v>
      </c>
      <c r="K124" s="246">
        <v>10.3</v>
      </c>
      <c r="L124" s="246">
        <v>0.318</v>
      </c>
      <c r="M124" s="246">
        <v>0.28299999999999997</v>
      </c>
      <c r="N124" s="241">
        <v>0</v>
      </c>
    </row>
    <row r="125" spans="1:14" ht="13.5" thickBot="1" x14ac:dyDescent="0.35">
      <c r="A125" s="244" t="s">
        <v>266</v>
      </c>
      <c r="B125" s="245">
        <v>446</v>
      </c>
      <c r="C125" s="246">
        <v>1261</v>
      </c>
      <c r="D125" s="246">
        <v>35.4</v>
      </c>
      <c r="E125" s="246">
        <v>0.192</v>
      </c>
      <c r="F125" s="246">
        <v>0.219</v>
      </c>
      <c r="G125" s="242">
        <v>1</v>
      </c>
      <c r="H125" s="244" t="s">
        <v>461</v>
      </c>
      <c r="I125" s="245">
        <v>183</v>
      </c>
      <c r="J125" s="246">
        <v>1387</v>
      </c>
      <c r="K125" s="246">
        <v>13.2</v>
      </c>
      <c r="L125" s="246">
        <v>0.125</v>
      </c>
      <c r="M125" s="246">
        <v>0.317</v>
      </c>
      <c r="N125" s="241">
        <v>0</v>
      </c>
    </row>
    <row r="126" spans="1:14" ht="13.5" thickBot="1" x14ac:dyDescent="0.35">
      <c r="A126" s="244" t="s">
        <v>189</v>
      </c>
      <c r="B126" s="245">
        <v>444</v>
      </c>
      <c r="C126" s="246">
        <v>2065</v>
      </c>
      <c r="D126" s="246">
        <v>21.5</v>
      </c>
      <c r="E126" s="246">
        <v>0.36399999999999999</v>
      </c>
      <c r="F126" s="246">
        <v>0.30499999999999999</v>
      </c>
      <c r="G126" s="242">
        <v>1</v>
      </c>
      <c r="H126" s="244" t="s">
        <v>229</v>
      </c>
      <c r="I126" s="245">
        <v>175</v>
      </c>
      <c r="J126" s="246">
        <v>2089</v>
      </c>
      <c r="K126" s="246">
        <v>8.4</v>
      </c>
      <c r="L126" s="246">
        <v>0.24399999999999999</v>
      </c>
      <c r="M126" s="246">
        <v>0.247</v>
      </c>
      <c r="N126" s="241">
        <v>0</v>
      </c>
    </row>
    <row r="127" spans="1:14" ht="13.5" thickBot="1" x14ac:dyDescent="0.35">
      <c r="A127" s="244" t="s">
        <v>277</v>
      </c>
      <c r="B127" s="245">
        <v>439</v>
      </c>
      <c r="C127" s="246">
        <v>727</v>
      </c>
      <c r="D127" s="246">
        <v>60.4</v>
      </c>
      <c r="E127" s="246">
        <v>0.17199999999999999</v>
      </c>
      <c r="F127" s="246">
        <v>0.17899999999999999</v>
      </c>
      <c r="G127" s="242">
        <v>1</v>
      </c>
      <c r="H127" s="244" t="s">
        <v>462</v>
      </c>
      <c r="I127" s="245">
        <v>170</v>
      </c>
      <c r="J127" s="246">
        <v>2730</v>
      </c>
      <c r="K127" s="246">
        <v>6.2</v>
      </c>
      <c r="L127" s="246">
        <v>0.29399999999999998</v>
      </c>
      <c r="M127" s="246">
        <v>0.19800000000000001</v>
      </c>
      <c r="N127" s="241">
        <v>0</v>
      </c>
    </row>
    <row r="128" spans="1:14" ht="13.5" thickBot="1" x14ac:dyDescent="0.35">
      <c r="A128" s="244" t="s">
        <v>355</v>
      </c>
      <c r="B128" s="245">
        <v>435</v>
      </c>
      <c r="C128" s="246">
        <v>716</v>
      </c>
      <c r="D128" s="246">
        <v>60.8</v>
      </c>
      <c r="E128" s="246">
        <v>0.189</v>
      </c>
      <c r="F128" s="246">
        <v>0.19400000000000001</v>
      </c>
      <c r="G128" s="242">
        <v>1</v>
      </c>
      <c r="H128" s="244" t="s">
        <v>463</v>
      </c>
      <c r="I128" s="245">
        <v>170</v>
      </c>
      <c r="J128" s="246">
        <v>796</v>
      </c>
      <c r="K128" s="246">
        <v>21.4</v>
      </c>
      <c r="L128" s="246">
        <v>0.32600000000000001</v>
      </c>
      <c r="M128" s="246">
        <v>0.27100000000000002</v>
      </c>
      <c r="N128" s="241">
        <v>0</v>
      </c>
    </row>
    <row r="129" spans="1:14" ht="13.5" thickBot="1" x14ac:dyDescent="0.35">
      <c r="A129" s="244" t="s">
        <v>233</v>
      </c>
      <c r="B129" s="245">
        <v>428</v>
      </c>
      <c r="C129" s="246">
        <v>1263</v>
      </c>
      <c r="D129" s="246">
        <v>33.9</v>
      </c>
      <c r="E129" s="246">
        <v>0.22</v>
      </c>
      <c r="F129" s="246">
        <v>0.22600000000000001</v>
      </c>
      <c r="G129" s="242">
        <v>1</v>
      </c>
      <c r="H129" s="244" t="s">
        <v>464</v>
      </c>
      <c r="I129" s="245">
        <v>170</v>
      </c>
      <c r="J129" s="246">
        <v>583</v>
      </c>
      <c r="K129" s="246">
        <v>29.2</v>
      </c>
      <c r="L129" s="246">
        <v>0.24299999999999999</v>
      </c>
      <c r="M129" s="246">
        <v>0.22500000000000001</v>
      </c>
      <c r="N129" s="241">
        <v>0</v>
      </c>
    </row>
    <row r="130" spans="1:14" ht="13.5" thickBot="1" x14ac:dyDescent="0.35">
      <c r="A130" s="244" t="s">
        <v>260</v>
      </c>
      <c r="B130" s="245">
        <v>427</v>
      </c>
      <c r="C130" s="246">
        <v>850</v>
      </c>
      <c r="D130" s="246">
        <v>50.2</v>
      </c>
      <c r="E130" s="246">
        <v>0.23400000000000001</v>
      </c>
      <c r="F130" s="246">
        <v>0.255</v>
      </c>
      <c r="G130" s="242">
        <v>1</v>
      </c>
      <c r="H130" s="244" t="s">
        <v>465</v>
      </c>
      <c r="I130" s="245">
        <v>164</v>
      </c>
      <c r="J130" s="246">
        <v>1524</v>
      </c>
      <c r="K130" s="246">
        <v>10.8</v>
      </c>
      <c r="L130" s="246">
        <v>0.214</v>
      </c>
      <c r="M130" s="246">
        <v>0.20399999999999999</v>
      </c>
      <c r="N130" s="241">
        <v>0</v>
      </c>
    </row>
    <row r="131" spans="1:14" ht="13.5" thickBot="1" x14ac:dyDescent="0.35">
      <c r="A131" s="244" t="s">
        <v>356</v>
      </c>
      <c r="B131" s="245">
        <v>419</v>
      </c>
      <c r="C131" s="246">
        <v>477</v>
      </c>
      <c r="D131" s="246">
        <v>87.8</v>
      </c>
      <c r="E131" s="246">
        <v>0.128</v>
      </c>
      <c r="F131" s="246">
        <v>0.161</v>
      </c>
      <c r="G131" s="242">
        <v>1</v>
      </c>
      <c r="H131" s="244" t="s">
        <v>466</v>
      </c>
      <c r="I131" s="245">
        <v>163</v>
      </c>
      <c r="J131" s="246">
        <v>229</v>
      </c>
      <c r="K131" s="246">
        <v>71.2</v>
      </c>
      <c r="L131" s="246">
        <v>0.11799999999999999</v>
      </c>
      <c r="M131" s="246">
        <v>0.14299999999999999</v>
      </c>
      <c r="N131" s="241">
        <v>0</v>
      </c>
    </row>
    <row r="132" spans="1:14" ht="13.5" thickBot="1" x14ac:dyDescent="0.35">
      <c r="A132" s="244" t="s">
        <v>286</v>
      </c>
      <c r="B132" s="245">
        <v>417</v>
      </c>
      <c r="C132" s="246">
        <v>577</v>
      </c>
      <c r="D132" s="246">
        <v>72.3</v>
      </c>
      <c r="E132" s="246">
        <v>0.14899999999999999</v>
      </c>
      <c r="F132" s="246">
        <v>0.222</v>
      </c>
      <c r="G132" s="242">
        <v>1</v>
      </c>
      <c r="H132" s="244" t="s">
        <v>467</v>
      </c>
      <c r="I132" s="245">
        <v>163</v>
      </c>
      <c r="J132" s="246">
        <v>2087</v>
      </c>
      <c r="K132" s="246">
        <v>7.8</v>
      </c>
      <c r="L132" s="246">
        <v>0.4</v>
      </c>
      <c r="M132" s="246">
        <v>0.27700000000000002</v>
      </c>
      <c r="N132" s="241">
        <v>0</v>
      </c>
    </row>
    <row r="133" spans="1:14" ht="13.5" thickBot="1" x14ac:dyDescent="0.35">
      <c r="A133" s="244" t="s">
        <v>274</v>
      </c>
      <c r="B133" s="245">
        <v>399</v>
      </c>
      <c r="C133" s="246">
        <v>547</v>
      </c>
      <c r="D133" s="246">
        <v>72.900000000000006</v>
      </c>
      <c r="E133" s="246">
        <v>0.214</v>
      </c>
      <c r="F133" s="246">
        <v>0.27</v>
      </c>
      <c r="G133" s="242">
        <v>1</v>
      </c>
      <c r="H133" s="244" t="s">
        <v>468</v>
      </c>
      <c r="I133" s="245">
        <v>162</v>
      </c>
      <c r="J133" s="246">
        <v>394</v>
      </c>
      <c r="K133" s="246">
        <v>41.1</v>
      </c>
      <c r="L133" s="246">
        <v>0.20599999999999999</v>
      </c>
      <c r="M133" s="246">
        <v>0.23499999999999999</v>
      </c>
      <c r="N133" s="241">
        <v>0</v>
      </c>
    </row>
    <row r="134" spans="1:14" ht="13.5" thickBot="1" x14ac:dyDescent="0.35">
      <c r="A134" s="244" t="s">
        <v>357</v>
      </c>
      <c r="B134" s="245">
        <v>398</v>
      </c>
      <c r="C134" s="246">
        <v>492</v>
      </c>
      <c r="D134" s="246">
        <v>80.900000000000006</v>
      </c>
      <c r="E134" s="246">
        <v>0.13100000000000001</v>
      </c>
      <c r="F134" s="246">
        <v>0.191</v>
      </c>
      <c r="G134" s="242">
        <v>1</v>
      </c>
      <c r="H134" s="244" t="s">
        <v>469</v>
      </c>
      <c r="I134" s="245">
        <v>160</v>
      </c>
      <c r="J134" s="246">
        <v>2084</v>
      </c>
      <c r="K134" s="246">
        <v>7.7</v>
      </c>
      <c r="L134" s="246">
        <v>0.19500000000000001</v>
      </c>
      <c r="M134" s="246">
        <v>0.218</v>
      </c>
      <c r="N134" s="241">
        <v>0</v>
      </c>
    </row>
    <row r="135" spans="1:14" ht="13.5" thickBot="1" x14ac:dyDescent="0.35">
      <c r="A135" s="244" t="s">
        <v>358</v>
      </c>
      <c r="B135" s="245">
        <v>396</v>
      </c>
      <c r="C135" s="246">
        <v>1320</v>
      </c>
      <c r="D135" s="246">
        <v>30</v>
      </c>
      <c r="E135" s="246">
        <v>0.17799999999999999</v>
      </c>
      <c r="F135" s="246">
        <v>0.17599999999999999</v>
      </c>
      <c r="G135" s="242">
        <v>1</v>
      </c>
      <c r="H135" s="244" t="s">
        <v>470</v>
      </c>
      <c r="I135" s="245">
        <v>159</v>
      </c>
      <c r="J135" s="246">
        <v>1349</v>
      </c>
      <c r="K135" s="246">
        <v>11.8</v>
      </c>
      <c r="L135" s="246">
        <v>0.29799999999999999</v>
      </c>
      <c r="M135" s="246">
        <v>0.249</v>
      </c>
      <c r="N135" s="241">
        <v>0</v>
      </c>
    </row>
    <row r="136" spans="1:14" ht="13.5" thickBot="1" x14ac:dyDescent="0.35">
      <c r="A136" s="244" t="s">
        <v>243</v>
      </c>
      <c r="B136" s="245">
        <v>394</v>
      </c>
      <c r="C136" s="246">
        <v>2781</v>
      </c>
      <c r="D136" s="246">
        <v>14.2</v>
      </c>
      <c r="E136" s="246">
        <v>0.247</v>
      </c>
      <c r="F136" s="246">
        <v>0.255</v>
      </c>
      <c r="G136" s="242">
        <v>1</v>
      </c>
      <c r="H136" s="244" t="s">
        <v>471</v>
      </c>
      <c r="I136" s="245">
        <v>158</v>
      </c>
      <c r="J136" s="246">
        <v>1474</v>
      </c>
      <c r="K136" s="246">
        <v>10.7</v>
      </c>
      <c r="L136" s="246">
        <v>0.27300000000000002</v>
      </c>
      <c r="M136" s="246">
        <v>0.27900000000000003</v>
      </c>
      <c r="N136" s="241">
        <v>0</v>
      </c>
    </row>
    <row r="137" spans="1:14" ht="13.5" thickBot="1" x14ac:dyDescent="0.35">
      <c r="A137" s="244" t="s">
        <v>359</v>
      </c>
      <c r="B137" s="245">
        <v>384</v>
      </c>
      <c r="C137" s="246">
        <v>430</v>
      </c>
      <c r="D137" s="246">
        <v>89.3</v>
      </c>
      <c r="E137" s="246">
        <v>0.217</v>
      </c>
      <c r="F137" s="246">
        <v>0.22500000000000001</v>
      </c>
      <c r="G137" s="242">
        <v>1</v>
      </c>
      <c r="H137" s="244" t="s">
        <v>115</v>
      </c>
      <c r="I137" s="245">
        <v>158</v>
      </c>
      <c r="J137" s="246">
        <v>2066</v>
      </c>
      <c r="K137" s="246">
        <v>7.6</v>
      </c>
      <c r="L137" s="246">
        <v>0.28100000000000003</v>
      </c>
      <c r="M137" s="246">
        <v>0.309</v>
      </c>
      <c r="N137" s="241">
        <v>0</v>
      </c>
    </row>
    <row r="138" spans="1:14" ht="13.5" thickBot="1" x14ac:dyDescent="0.35">
      <c r="A138" s="244" t="s">
        <v>247</v>
      </c>
      <c r="B138" s="245">
        <v>384</v>
      </c>
      <c r="C138" s="246">
        <v>1966</v>
      </c>
      <c r="D138" s="246">
        <v>19.5</v>
      </c>
      <c r="E138" s="246">
        <v>0.19500000000000001</v>
      </c>
      <c r="F138" s="246">
        <v>0.20300000000000001</v>
      </c>
      <c r="G138" s="242">
        <v>1</v>
      </c>
      <c r="H138" s="244" t="s">
        <v>472</v>
      </c>
      <c r="I138" s="245">
        <v>158</v>
      </c>
      <c r="J138" s="246">
        <v>1138</v>
      </c>
      <c r="K138" s="246">
        <v>13.9</v>
      </c>
      <c r="L138" s="246">
        <v>0.22500000000000001</v>
      </c>
      <c r="M138" s="246">
        <v>0.21</v>
      </c>
      <c r="N138" s="241">
        <v>0</v>
      </c>
    </row>
    <row r="139" spans="1:14" ht="13.5" thickBot="1" x14ac:dyDescent="0.35">
      <c r="A139" s="244" t="s">
        <v>360</v>
      </c>
      <c r="B139" s="245">
        <v>383</v>
      </c>
      <c r="C139" s="246">
        <v>530</v>
      </c>
      <c r="D139" s="246">
        <v>72.3</v>
      </c>
      <c r="E139" s="246">
        <v>0.19</v>
      </c>
      <c r="F139" s="246">
        <v>0.245</v>
      </c>
      <c r="G139" s="242">
        <v>1</v>
      </c>
      <c r="H139" s="244" t="s">
        <v>473</v>
      </c>
      <c r="I139" s="245">
        <v>155</v>
      </c>
      <c r="J139" s="246">
        <v>1825</v>
      </c>
      <c r="K139" s="246">
        <v>8.5</v>
      </c>
      <c r="L139" s="246">
        <v>0.14299999999999999</v>
      </c>
      <c r="M139" s="246">
        <v>0.2</v>
      </c>
      <c r="N139" s="241">
        <v>0</v>
      </c>
    </row>
    <row r="140" spans="1:14" ht="13.5" thickBot="1" x14ac:dyDescent="0.35">
      <c r="A140" s="244" t="s">
        <v>361</v>
      </c>
      <c r="B140" s="245">
        <v>372</v>
      </c>
      <c r="C140" s="246">
        <v>453</v>
      </c>
      <c r="D140" s="246">
        <v>82.1</v>
      </c>
      <c r="E140" s="246">
        <v>0.24099999999999999</v>
      </c>
      <c r="F140" s="246">
        <v>0.23100000000000001</v>
      </c>
      <c r="G140" s="242">
        <v>1</v>
      </c>
      <c r="H140" s="244" t="s">
        <v>224</v>
      </c>
      <c r="I140" s="245">
        <v>149</v>
      </c>
      <c r="J140" s="246">
        <v>1027</v>
      </c>
      <c r="K140" s="246">
        <v>14.5</v>
      </c>
      <c r="L140" s="246">
        <v>0.25600000000000001</v>
      </c>
      <c r="M140" s="246">
        <v>0.26200000000000001</v>
      </c>
      <c r="N140" s="241">
        <v>0</v>
      </c>
    </row>
    <row r="141" spans="1:14" ht="13.5" thickBot="1" x14ac:dyDescent="0.35">
      <c r="A141" s="244" t="s">
        <v>259</v>
      </c>
      <c r="B141" s="245">
        <v>367</v>
      </c>
      <c r="C141" s="246">
        <v>469</v>
      </c>
      <c r="D141" s="246">
        <v>78.3</v>
      </c>
      <c r="E141" s="246">
        <v>0.16500000000000001</v>
      </c>
      <c r="F141" s="246">
        <v>0.20899999999999999</v>
      </c>
      <c r="G141" s="242">
        <v>1</v>
      </c>
      <c r="H141" s="244" t="s">
        <v>135</v>
      </c>
      <c r="I141" s="245">
        <v>148</v>
      </c>
      <c r="J141" s="246">
        <v>2505</v>
      </c>
      <c r="K141" s="246">
        <v>5.9</v>
      </c>
      <c r="L141" s="246">
        <v>0.24299999999999999</v>
      </c>
      <c r="M141" s="246">
        <v>0.27100000000000002</v>
      </c>
      <c r="N141" s="241">
        <v>0</v>
      </c>
    </row>
    <row r="142" spans="1:14" ht="13.5" thickBot="1" x14ac:dyDescent="0.35">
      <c r="A142" s="244" t="s">
        <v>256</v>
      </c>
      <c r="B142" s="245">
        <v>354</v>
      </c>
      <c r="C142" s="246">
        <v>539</v>
      </c>
      <c r="D142" s="246">
        <v>65.7</v>
      </c>
      <c r="E142" s="246">
        <v>0.26300000000000001</v>
      </c>
      <c r="F142" s="246">
        <v>0.25600000000000001</v>
      </c>
      <c r="G142" s="242">
        <v>1</v>
      </c>
      <c r="H142" s="244" t="s">
        <v>474</v>
      </c>
      <c r="I142" s="245">
        <v>148</v>
      </c>
      <c r="J142" s="246">
        <v>2419</v>
      </c>
      <c r="K142" s="246">
        <v>6.1</v>
      </c>
      <c r="L142" s="246">
        <v>0.32400000000000001</v>
      </c>
      <c r="M142" s="246">
        <v>0.26500000000000001</v>
      </c>
      <c r="N142" s="241">
        <v>0</v>
      </c>
    </row>
    <row r="143" spans="1:14" ht="13.5" thickBot="1" x14ac:dyDescent="0.35">
      <c r="A143" s="244" t="s">
        <v>269</v>
      </c>
      <c r="B143" s="245">
        <v>350</v>
      </c>
      <c r="C143" s="246">
        <v>1303</v>
      </c>
      <c r="D143" s="246">
        <v>26.9</v>
      </c>
      <c r="E143" s="246">
        <v>0.23899999999999999</v>
      </c>
      <c r="F143" s="246">
        <v>0.23799999999999999</v>
      </c>
      <c r="G143" s="242">
        <v>1</v>
      </c>
      <c r="H143" s="244" t="s">
        <v>475</v>
      </c>
      <c r="I143" s="245">
        <v>146</v>
      </c>
      <c r="J143" s="246">
        <v>1178</v>
      </c>
      <c r="K143" s="246">
        <v>12.4</v>
      </c>
      <c r="L143" s="246">
        <v>0.20599999999999999</v>
      </c>
      <c r="M143" s="246">
        <v>0.248</v>
      </c>
      <c r="N143" s="241">
        <v>0</v>
      </c>
    </row>
    <row r="144" spans="1:14" ht="13.5" thickBot="1" x14ac:dyDescent="0.35">
      <c r="A144" s="244" t="s">
        <v>340</v>
      </c>
      <c r="B144" s="245">
        <v>350</v>
      </c>
      <c r="C144" s="246">
        <v>558</v>
      </c>
      <c r="D144" s="246">
        <v>62.7</v>
      </c>
      <c r="E144" s="246">
        <v>0.23699999999999999</v>
      </c>
      <c r="F144" s="246">
        <v>0.23400000000000001</v>
      </c>
      <c r="G144" s="242">
        <v>1</v>
      </c>
      <c r="H144" s="244" t="s">
        <v>476</v>
      </c>
      <c r="I144" s="245">
        <v>143</v>
      </c>
      <c r="J144" s="246">
        <v>986</v>
      </c>
      <c r="K144" s="246">
        <v>14.5</v>
      </c>
      <c r="L144" s="246">
        <v>0.2</v>
      </c>
      <c r="M144" s="246">
        <v>0.22900000000000001</v>
      </c>
      <c r="N144" s="241">
        <v>0</v>
      </c>
    </row>
    <row r="145" spans="1:14" ht="13.5" thickBot="1" x14ac:dyDescent="0.35">
      <c r="A145" s="244" t="s">
        <v>362</v>
      </c>
      <c r="B145" s="245">
        <v>349</v>
      </c>
      <c r="C145" s="246">
        <v>724</v>
      </c>
      <c r="D145" s="246">
        <v>48.2</v>
      </c>
      <c r="E145" s="246">
        <v>0.22600000000000001</v>
      </c>
      <c r="F145" s="246">
        <v>0.222</v>
      </c>
      <c r="G145" s="242">
        <v>1</v>
      </c>
      <c r="H145" s="244" t="s">
        <v>477</v>
      </c>
      <c r="I145" s="245">
        <v>138</v>
      </c>
      <c r="J145" s="246">
        <v>1543</v>
      </c>
      <c r="K145" s="246">
        <v>8.9</v>
      </c>
      <c r="L145" s="246">
        <v>0.3</v>
      </c>
      <c r="M145" s="246">
        <v>0.33800000000000002</v>
      </c>
      <c r="N145" s="241">
        <v>0</v>
      </c>
    </row>
    <row r="146" spans="1:14" ht="13.5" thickBot="1" x14ac:dyDescent="0.35">
      <c r="A146" s="244" t="s">
        <v>363</v>
      </c>
      <c r="B146" s="245">
        <v>347</v>
      </c>
      <c r="C146" s="246">
        <v>505</v>
      </c>
      <c r="D146" s="246">
        <v>68.7</v>
      </c>
      <c r="E146" s="246">
        <v>0.28599999999999998</v>
      </c>
      <c r="F146" s="246">
        <v>0.216</v>
      </c>
      <c r="G146" s="242">
        <v>1</v>
      </c>
      <c r="H146" s="244" t="s">
        <v>478</v>
      </c>
      <c r="I146" s="245">
        <v>137</v>
      </c>
      <c r="J146" s="246">
        <v>1106</v>
      </c>
      <c r="K146" s="246">
        <v>12.4</v>
      </c>
      <c r="L146" s="246">
        <v>0.27800000000000002</v>
      </c>
      <c r="M146" s="246">
        <v>0.27200000000000002</v>
      </c>
      <c r="N146" s="241">
        <v>0</v>
      </c>
    </row>
    <row r="147" spans="1:14" ht="13.5" thickBot="1" x14ac:dyDescent="0.35">
      <c r="A147" s="244" t="s">
        <v>270</v>
      </c>
      <c r="B147" s="245">
        <v>347</v>
      </c>
      <c r="C147" s="246">
        <v>1006</v>
      </c>
      <c r="D147" s="246">
        <v>34.5</v>
      </c>
      <c r="E147" s="246">
        <v>0.30499999999999999</v>
      </c>
      <c r="F147" s="246">
        <v>0.30499999999999999</v>
      </c>
      <c r="G147" s="242">
        <v>1</v>
      </c>
      <c r="H147" s="244" t="s">
        <v>479</v>
      </c>
      <c r="I147" s="245">
        <v>136</v>
      </c>
      <c r="J147" s="246">
        <v>1138</v>
      </c>
      <c r="K147" s="246">
        <v>12</v>
      </c>
      <c r="L147" s="246">
        <v>5.2999999999999999E-2</v>
      </c>
      <c r="M147" s="246">
        <v>0.14599999999999999</v>
      </c>
      <c r="N147" s="241">
        <v>0</v>
      </c>
    </row>
    <row r="148" spans="1:14" ht="13.5" thickBot="1" x14ac:dyDescent="0.35">
      <c r="A148" s="244" t="s">
        <v>279</v>
      </c>
      <c r="B148" s="245">
        <v>340</v>
      </c>
      <c r="C148" s="246">
        <v>1660</v>
      </c>
      <c r="D148" s="246">
        <v>20.5</v>
      </c>
      <c r="E148" s="246">
        <v>0.23699999999999999</v>
      </c>
      <c r="F148" s="246">
        <v>0.25600000000000001</v>
      </c>
      <c r="G148" s="242">
        <v>1</v>
      </c>
      <c r="H148" s="244" t="s">
        <v>480</v>
      </c>
      <c r="I148" s="245">
        <v>133</v>
      </c>
      <c r="J148" s="246">
        <v>762</v>
      </c>
      <c r="K148" s="246">
        <v>17.5</v>
      </c>
      <c r="L148" s="246">
        <v>0.25</v>
      </c>
      <c r="M148" s="246">
        <v>0.28799999999999998</v>
      </c>
      <c r="N148" s="241">
        <v>0</v>
      </c>
    </row>
    <row r="149" spans="1:14" ht="13.5" thickBot="1" x14ac:dyDescent="0.35">
      <c r="A149" s="244" t="s">
        <v>242</v>
      </c>
      <c r="B149" s="245">
        <v>340</v>
      </c>
      <c r="C149" s="246">
        <v>2477</v>
      </c>
      <c r="D149" s="246">
        <v>13.7</v>
      </c>
      <c r="E149" s="246">
        <v>0.29799999999999999</v>
      </c>
      <c r="F149" s="246">
        <v>0.26500000000000001</v>
      </c>
      <c r="G149" s="242">
        <v>1</v>
      </c>
      <c r="H149" s="244" t="s">
        <v>481</v>
      </c>
      <c r="I149" s="245">
        <v>129</v>
      </c>
      <c r="J149" s="246">
        <v>1789</v>
      </c>
      <c r="K149" s="246">
        <v>7.2</v>
      </c>
      <c r="L149" s="246">
        <v>0.129</v>
      </c>
      <c r="M149" s="246">
        <v>0.14299999999999999</v>
      </c>
      <c r="N149" s="241">
        <v>0</v>
      </c>
    </row>
    <row r="150" spans="1:14" ht="13.5" thickBot="1" x14ac:dyDescent="0.35">
      <c r="A150" s="244" t="s">
        <v>364</v>
      </c>
      <c r="B150" s="245">
        <v>331</v>
      </c>
      <c r="C150" s="246">
        <v>509</v>
      </c>
      <c r="D150" s="246">
        <v>65</v>
      </c>
      <c r="E150" s="246">
        <v>0.125</v>
      </c>
      <c r="F150" s="246">
        <v>0.186</v>
      </c>
      <c r="G150" s="242">
        <v>1</v>
      </c>
      <c r="H150" s="244" t="s">
        <v>162</v>
      </c>
      <c r="I150" s="245">
        <v>127</v>
      </c>
      <c r="J150" s="246">
        <v>1964</v>
      </c>
      <c r="K150" s="246">
        <v>6.5</v>
      </c>
      <c r="L150" s="246">
        <v>0.28599999999999998</v>
      </c>
      <c r="M150" s="246">
        <v>0.254</v>
      </c>
      <c r="N150" s="241">
        <v>0</v>
      </c>
    </row>
    <row r="151" spans="1:14" ht="13.5" thickBot="1" x14ac:dyDescent="0.35">
      <c r="A151" s="244" t="s">
        <v>365</v>
      </c>
      <c r="B151" s="245">
        <v>328</v>
      </c>
      <c r="C151" s="246">
        <v>369</v>
      </c>
      <c r="D151" s="246">
        <v>88.9</v>
      </c>
      <c r="E151" s="246">
        <v>0.13400000000000001</v>
      </c>
      <c r="F151" s="246">
        <v>0.17899999999999999</v>
      </c>
      <c r="G151" s="242">
        <v>1</v>
      </c>
      <c r="H151" s="244" t="s">
        <v>482</v>
      </c>
      <c r="I151" s="245">
        <v>124</v>
      </c>
      <c r="J151" s="246">
        <v>2144</v>
      </c>
      <c r="K151" s="246">
        <v>5.8</v>
      </c>
      <c r="L151" s="246">
        <v>0.185</v>
      </c>
      <c r="M151" s="246">
        <v>0.23200000000000001</v>
      </c>
      <c r="N151" s="241">
        <v>0</v>
      </c>
    </row>
    <row r="152" spans="1:14" ht="13.5" thickBot="1" x14ac:dyDescent="0.35">
      <c r="A152" s="244" t="s">
        <v>366</v>
      </c>
      <c r="B152" s="245">
        <v>318</v>
      </c>
      <c r="C152" s="246">
        <v>412</v>
      </c>
      <c r="D152" s="246">
        <v>77.2</v>
      </c>
      <c r="E152" s="246">
        <v>0.14299999999999999</v>
      </c>
      <c r="F152" s="246">
        <v>0.14399999999999999</v>
      </c>
      <c r="G152" s="242">
        <v>1</v>
      </c>
      <c r="H152" s="244" t="s">
        <v>483</v>
      </c>
      <c r="I152" s="245">
        <v>123</v>
      </c>
      <c r="J152" s="246">
        <v>501</v>
      </c>
      <c r="K152" s="246">
        <v>24.6</v>
      </c>
      <c r="L152" s="246">
        <v>0.222</v>
      </c>
      <c r="M152" s="246">
        <v>0.22</v>
      </c>
      <c r="N152" s="241">
        <v>0</v>
      </c>
    </row>
    <row r="153" spans="1:14" ht="13.5" thickBot="1" x14ac:dyDescent="0.35">
      <c r="A153" s="244" t="s">
        <v>257</v>
      </c>
      <c r="B153" s="245">
        <v>312</v>
      </c>
      <c r="C153" s="246">
        <v>1877</v>
      </c>
      <c r="D153" s="246">
        <v>16.600000000000001</v>
      </c>
      <c r="E153" s="246">
        <v>0.23300000000000001</v>
      </c>
      <c r="F153" s="246">
        <v>0.23699999999999999</v>
      </c>
      <c r="G153" s="242">
        <v>1</v>
      </c>
      <c r="H153" s="244" t="s">
        <v>484</v>
      </c>
      <c r="I153" s="245">
        <v>119</v>
      </c>
      <c r="J153" s="246">
        <v>1178</v>
      </c>
      <c r="K153" s="246">
        <v>10.1</v>
      </c>
      <c r="L153" s="246">
        <v>0.308</v>
      </c>
      <c r="M153" s="246">
        <v>0.26600000000000001</v>
      </c>
      <c r="N153" s="241">
        <v>0</v>
      </c>
    </row>
    <row r="154" spans="1:14" ht="13.5" thickBot="1" x14ac:dyDescent="0.35">
      <c r="A154" s="244" t="s">
        <v>244</v>
      </c>
      <c r="B154" s="245">
        <v>307</v>
      </c>
      <c r="C154" s="246">
        <v>1323</v>
      </c>
      <c r="D154" s="246">
        <v>23.2</v>
      </c>
      <c r="E154" s="246">
        <v>0.29599999999999999</v>
      </c>
      <c r="F154" s="246">
        <v>0.23599999999999999</v>
      </c>
      <c r="G154" s="242">
        <v>1</v>
      </c>
      <c r="H154" s="244" t="s">
        <v>485</v>
      </c>
      <c r="I154" s="245">
        <v>119</v>
      </c>
      <c r="J154" s="246">
        <v>423</v>
      </c>
      <c r="K154" s="246">
        <v>28.1</v>
      </c>
      <c r="L154" s="246">
        <v>0.23100000000000001</v>
      </c>
      <c r="M154" s="246">
        <v>0.24099999999999999</v>
      </c>
      <c r="N154" s="241">
        <v>0</v>
      </c>
    </row>
    <row r="155" spans="1:14" ht="13.5" thickBot="1" x14ac:dyDescent="0.35">
      <c r="A155" s="244" t="s">
        <v>367</v>
      </c>
      <c r="B155" s="245">
        <v>304</v>
      </c>
      <c r="C155" s="246">
        <v>916</v>
      </c>
      <c r="D155" s="246">
        <v>33.200000000000003</v>
      </c>
      <c r="E155" s="246">
        <v>0.22500000000000001</v>
      </c>
      <c r="F155" s="246">
        <v>0.20499999999999999</v>
      </c>
      <c r="G155" s="242">
        <v>1</v>
      </c>
      <c r="H155" s="244" t="s">
        <v>486</v>
      </c>
      <c r="I155" s="245">
        <v>117</v>
      </c>
      <c r="J155" s="246">
        <v>449</v>
      </c>
      <c r="K155" s="246">
        <v>26.1</v>
      </c>
      <c r="L155" s="246">
        <v>0.23100000000000001</v>
      </c>
      <c r="M155" s="246">
        <v>0.255</v>
      </c>
      <c r="N155" s="241">
        <v>0</v>
      </c>
    </row>
    <row r="156" spans="1:14" ht="13.5" thickBot="1" x14ac:dyDescent="0.35">
      <c r="A156" s="244" t="s">
        <v>368</v>
      </c>
      <c r="B156" s="245">
        <v>294</v>
      </c>
      <c r="C156" s="246">
        <v>368</v>
      </c>
      <c r="D156" s="246">
        <v>79.900000000000006</v>
      </c>
      <c r="E156" s="246">
        <v>0.26</v>
      </c>
      <c r="F156" s="246">
        <v>0.27300000000000002</v>
      </c>
      <c r="G156" s="242">
        <v>1</v>
      </c>
      <c r="H156" s="244" t="s">
        <v>487</v>
      </c>
      <c r="I156" s="245">
        <v>116</v>
      </c>
      <c r="J156" s="246">
        <v>730</v>
      </c>
      <c r="K156" s="246">
        <v>15.9</v>
      </c>
      <c r="L156" s="246">
        <v>0.31</v>
      </c>
      <c r="M156" s="246">
        <v>0.251</v>
      </c>
      <c r="N156" s="241">
        <v>0</v>
      </c>
    </row>
    <row r="157" spans="1:14" ht="13.5" thickBot="1" x14ac:dyDescent="0.35">
      <c r="A157" s="244" t="s">
        <v>369</v>
      </c>
      <c r="B157" s="245">
        <v>290</v>
      </c>
      <c r="C157" s="246">
        <v>483</v>
      </c>
      <c r="D157" s="246">
        <v>60</v>
      </c>
      <c r="E157" s="246">
        <v>0.25</v>
      </c>
      <c r="F157" s="246">
        <v>0.217</v>
      </c>
      <c r="G157" s="242">
        <v>1</v>
      </c>
      <c r="H157" s="244" t="s">
        <v>488</v>
      </c>
      <c r="I157" s="245">
        <v>113</v>
      </c>
      <c r="J157" s="246">
        <v>597</v>
      </c>
      <c r="K157" s="246">
        <v>18.899999999999999</v>
      </c>
      <c r="L157" s="246">
        <v>0.19400000000000001</v>
      </c>
      <c r="M157" s="246">
        <v>0.22600000000000001</v>
      </c>
      <c r="N157" s="241">
        <v>0</v>
      </c>
    </row>
    <row r="158" spans="1:14" ht="13.5" thickBot="1" x14ac:dyDescent="0.35">
      <c r="A158" s="244" t="s">
        <v>370</v>
      </c>
      <c r="B158" s="245">
        <v>290</v>
      </c>
      <c r="C158" s="246">
        <v>2368</v>
      </c>
      <c r="D158" s="246">
        <v>12.2</v>
      </c>
      <c r="E158" s="246">
        <v>0.247</v>
      </c>
      <c r="F158" s="246">
        <v>0.22800000000000001</v>
      </c>
      <c r="G158" s="242">
        <v>1</v>
      </c>
      <c r="H158" s="244" t="s">
        <v>489</v>
      </c>
      <c r="I158" s="245">
        <v>112</v>
      </c>
      <c r="J158" s="246">
        <v>948</v>
      </c>
      <c r="K158" s="246">
        <v>11.8</v>
      </c>
      <c r="L158" s="246">
        <v>0.105</v>
      </c>
      <c r="M158" s="246">
        <v>0.128</v>
      </c>
      <c r="N158" s="241">
        <v>0</v>
      </c>
    </row>
    <row r="159" spans="1:14" ht="13.5" thickBot="1" x14ac:dyDescent="0.35">
      <c r="A159" s="244" t="s">
        <v>371</v>
      </c>
      <c r="B159" s="245">
        <v>286</v>
      </c>
      <c r="C159" s="246">
        <v>996</v>
      </c>
      <c r="D159" s="246">
        <v>28.7</v>
      </c>
      <c r="E159" s="246">
        <v>0.25700000000000001</v>
      </c>
      <c r="F159" s="246">
        <v>0.17899999999999999</v>
      </c>
      <c r="G159" s="242">
        <v>1</v>
      </c>
      <c r="H159" s="244" t="s">
        <v>490</v>
      </c>
      <c r="I159" s="245">
        <v>111</v>
      </c>
      <c r="J159" s="246">
        <v>699</v>
      </c>
      <c r="K159" s="246">
        <v>15.9</v>
      </c>
      <c r="L159" s="246">
        <v>0.32</v>
      </c>
      <c r="M159" s="246">
        <v>0.253</v>
      </c>
      <c r="N159" s="241">
        <v>0</v>
      </c>
    </row>
    <row r="160" spans="1:14" ht="13.5" thickBot="1" x14ac:dyDescent="0.35">
      <c r="A160" s="244" t="s">
        <v>372</v>
      </c>
      <c r="B160" s="245">
        <v>282</v>
      </c>
      <c r="C160" s="246">
        <v>791</v>
      </c>
      <c r="D160" s="246">
        <v>35.700000000000003</v>
      </c>
      <c r="E160" s="246">
        <v>0.23</v>
      </c>
      <c r="F160" s="246">
        <v>0.255</v>
      </c>
      <c r="G160" s="242">
        <v>1</v>
      </c>
      <c r="H160" s="244" t="s">
        <v>491</v>
      </c>
      <c r="I160" s="245">
        <v>111</v>
      </c>
      <c r="J160" s="246">
        <v>2116</v>
      </c>
      <c r="K160" s="246">
        <v>5.2</v>
      </c>
      <c r="L160" s="246">
        <v>0.27300000000000002</v>
      </c>
      <c r="M160" s="246">
        <v>0.16400000000000001</v>
      </c>
      <c r="N160" s="241">
        <v>0</v>
      </c>
    </row>
    <row r="161" spans="1:14" ht="13.5" thickBot="1" x14ac:dyDescent="0.35">
      <c r="A161" s="244" t="s">
        <v>341</v>
      </c>
      <c r="B161" s="245">
        <v>278</v>
      </c>
      <c r="C161" s="246">
        <v>2191</v>
      </c>
      <c r="D161" s="246">
        <v>12.7</v>
      </c>
      <c r="E161" s="246">
        <v>0.31900000000000001</v>
      </c>
      <c r="F161" s="246">
        <v>0.32200000000000001</v>
      </c>
      <c r="G161" s="242">
        <v>1</v>
      </c>
      <c r="H161" s="244" t="s">
        <v>492</v>
      </c>
      <c r="I161" s="245">
        <v>108</v>
      </c>
      <c r="J161" s="246">
        <v>554</v>
      </c>
      <c r="K161" s="246">
        <v>19.5</v>
      </c>
      <c r="L161" s="246">
        <v>0.26100000000000001</v>
      </c>
      <c r="M161" s="246">
        <v>0.27200000000000002</v>
      </c>
      <c r="N161" s="241">
        <v>0</v>
      </c>
    </row>
    <row r="162" spans="1:14" ht="13.5" thickBot="1" x14ac:dyDescent="0.35">
      <c r="A162" s="244" t="s">
        <v>373</v>
      </c>
      <c r="B162" s="245">
        <v>276</v>
      </c>
      <c r="C162" s="246">
        <v>1274</v>
      </c>
      <c r="D162" s="246">
        <v>21.7</v>
      </c>
      <c r="E162" s="246">
        <v>0.189</v>
      </c>
      <c r="F162" s="246">
        <v>0.184</v>
      </c>
      <c r="G162" s="242">
        <v>1</v>
      </c>
      <c r="H162" s="244" t="s">
        <v>493</v>
      </c>
      <c r="I162" s="245">
        <v>106</v>
      </c>
      <c r="J162" s="246">
        <v>471</v>
      </c>
      <c r="K162" s="246">
        <v>22.5</v>
      </c>
      <c r="L162" s="246">
        <v>0.308</v>
      </c>
      <c r="M162" s="246">
        <v>0.28199999999999997</v>
      </c>
      <c r="N162" s="241">
        <v>0</v>
      </c>
    </row>
    <row r="163" spans="1:14" ht="13.5" thickBot="1" x14ac:dyDescent="0.35">
      <c r="A163" s="244" t="s">
        <v>273</v>
      </c>
      <c r="B163" s="245">
        <v>275</v>
      </c>
      <c r="C163" s="246">
        <v>942</v>
      </c>
      <c r="D163" s="246">
        <v>29.2</v>
      </c>
      <c r="E163" s="246">
        <v>0.20599999999999999</v>
      </c>
      <c r="F163" s="246">
        <v>0.20799999999999999</v>
      </c>
      <c r="G163" s="242">
        <v>1</v>
      </c>
      <c r="H163" s="244" t="s">
        <v>494</v>
      </c>
      <c r="I163" s="245">
        <v>106</v>
      </c>
      <c r="J163" s="246">
        <v>1861</v>
      </c>
      <c r="K163" s="246">
        <v>5.7</v>
      </c>
      <c r="L163" s="246">
        <v>0.308</v>
      </c>
      <c r="M163" s="246">
        <v>0.249</v>
      </c>
      <c r="N163" s="241">
        <v>0</v>
      </c>
    </row>
    <row r="164" spans="1:14" ht="13.5" thickBot="1" x14ac:dyDescent="0.35">
      <c r="A164" s="244" t="s">
        <v>374</v>
      </c>
      <c r="B164" s="245">
        <v>274</v>
      </c>
      <c r="C164" s="246">
        <v>1047</v>
      </c>
      <c r="D164" s="246">
        <v>26.2</v>
      </c>
      <c r="E164" s="246">
        <v>0.26500000000000001</v>
      </c>
      <c r="F164" s="246">
        <v>0.19800000000000001</v>
      </c>
      <c r="G164" s="242">
        <v>1</v>
      </c>
      <c r="H164" s="244" t="s">
        <v>495</v>
      </c>
      <c r="I164" s="245">
        <v>105</v>
      </c>
      <c r="J164" s="246">
        <v>2200</v>
      </c>
      <c r="K164" s="246">
        <v>4.8</v>
      </c>
      <c r="L164" s="246">
        <v>0.29399999999999998</v>
      </c>
      <c r="M164" s="246">
        <v>0.218</v>
      </c>
      <c r="N164" s="241">
        <v>0</v>
      </c>
    </row>
    <row r="165" spans="1:14" ht="13.5" thickBot="1" x14ac:dyDescent="0.35">
      <c r="A165" s="244" t="s">
        <v>375</v>
      </c>
      <c r="B165" s="245">
        <v>273</v>
      </c>
      <c r="C165" s="246">
        <v>347</v>
      </c>
      <c r="D165" s="246">
        <v>78.7</v>
      </c>
      <c r="E165" s="246">
        <v>0.26200000000000001</v>
      </c>
      <c r="F165" s="246">
        <v>0.23899999999999999</v>
      </c>
      <c r="G165" s="242">
        <v>1</v>
      </c>
      <c r="H165" s="244" t="s">
        <v>496</v>
      </c>
      <c r="I165" s="245">
        <v>100</v>
      </c>
      <c r="J165" s="246">
        <v>2332</v>
      </c>
      <c r="K165" s="246">
        <v>4.3</v>
      </c>
      <c r="L165" s="246">
        <v>0.13600000000000001</v>
      </c>
      <c r="M165" s="246">
        <v>0.255</v>
      </c>
      <c r="N165" s="241">
        <v>0</v>
      </c>
    </row>
    <row r="166" spans="1:14" ht="13.5" thickBot="1" x14ac:dyDescent="0.35">
      <c r="A166" s="244" t="s">
        <v>245</v>
      </c>
      <c r="B166" s="245">
        <v>269</v>
      </c>
      <c r="C166" s="246">
        <v>1617</v>
      </c>
      <c r="D166" s="246">
        <v>16.600000000000001</v>
      </c>
      <c r="E166" s="246">
        <v>0.254</v>
      </c>
      <c r="F166" s="246">
        <v>0.20599999999999999</v>
      </c>
      <c r="G166" s="242">
        <v>1</v>
      </c>
      <c r="H166" s="244" t="s">
        <v>497</v>
      </c>
      <c r="I166" s="245">
        <v>96</v>
      </c>
      <c r="J166" s="246">
        <v>686</v>
      </c>
      <c r="K166" s="246">
        <v>14</v>
      </c>
      <c r="L166" s="246">
        <v>0.2</v>
      </c>
      <c r="M166" s="246">
        <v>0.25700000000000001</v>
      </c>
      <c r="N166" s="241">
        <v>0</v>
      </c>
    </row>
    <row r="167" spans="1:14" ht="13.5" thickBot="1" x14ac:dyDescent="0.35">
      <c r="A167" s="244" t="s">
        <v>376</v>
      </c>
      <c r="B167" s="245">
        <v>268</v>
      </c>
      <c r="C167" s="246">
        <v>432</v>
      </c>
      <c r="D167" s="246">
        <v>62</v>
      </c>
      <c r="E167" s="246">
        <v>0.20300000000000001</v>
      </c>
      <c r="F167" s="246">
        <v>0.185</v>
      </c>
      <c r="G167" s="242">
        <v>1</v>
      </c>
      <c r="H167" s="244" t="s">
        <v>498</v>
      </c>
      <c r="I167" s="245">
        <v>96</v>
      </c>
      <c r="J167" s="246">
        <v>2505</v>
      </c>
      <c r="K167" s="246">
        <v>3.8</v>
      </c>
      <c r="L167" s="246">
        <v>0.154</v>
      </c>
      <c r="M167" s="246">
        <v>0.151</v>
      </c>
      <c r="N167" s="241">
        <v>0</v>
      </c>
    </row>
    <row r="168" spans="1:14" ht="13.5" thickBot="1" x14ac:dyDescent="0.35">
      <c r="A168" s="244" t="s">
        <v>377</v>
      </c>
      <c r="B168" s="245">
        <v>249</v>
      </c>
      <c r="C168" s="246">
        <v>324</v>
      </c>
      <c r="D168" s="246">
        <v>76.900000000000006</v>
      </c>
      <c r="E168" s="246">
        <v>0.20399999999999999</v>
      </c>
      <c r="F168" s="246">
        <v>0.187</v>
      </c>
      <c r="G168" s="242">
        <v>1</v>
      </c>
      <c r="H168" s="244" t="s">
        <v>134</v>
      </c>
      <c r="I168" s="245">
        <v>96</v>
      </c>
      <c r="J168" s="246">
        <v>1538</v>
      </c>
      <c r="K168" s="246">
        <v>6.2</v>
      </c>
      <c r="L168" s="246">
        <v>0.28599999999999998</v>
      </c>
      <c r="M168" s="246">
        <v>0.28999999999999998</v>
      </c>
      <c r="N168" s="241">
        <v>0</v>
      </c>
    </row>
    <row r="169" spans="1:14" ht="13.5" thickBot="1" x14ac:dyDescent="0.35">
      <c r="A169" s="244" t="s">
        <v>378</v>
      </c>
      <c r="B169" s="245">
        <v>239</v>
      </c>
      <c r="C169" s="246">
        <v>256</v>
      </c>
      <c r="D169" s="246">
        <v>93.4</v>
      </c>
      <c r="E169" s="246">
        <v>8.3000000000000004E-2</v>
      </c>
      <c r="F169" s="246">
        <v>0.155</v>
      </c>
      <c r="G169" s="242">
        <v>1</v>
      </c>
      <c r="H169" s="244" t="s">
        <v>120</v>
      </c>
      <c r="I169" s="245">
        <v>95</v>
      </c>
      <c r="J169" s="246">
        <v>2618</v>
      </c>
      <c r="K169" s="246">
        <v>3.6</v>
      </c>
      <c r="L169" s="246">
        <v>0.26700000000000002</v>
      </c>
      <c r="M169" s="246">
        <v>0.28699999999999998</v>
      </c>
      <c r="N169" s="241">
        <v>0</v>
      </c>
    </row>
    <row r="170" spans="1:14" ht="13.5" thickBot="1" x14ac:dyDescent="0.35">
      <c r="A170" s="244" t="s">
        <v>379</v>
      </c>
      <c r="B170" s="245">
        <v>237</v>
      </c>
      <c r="C170" s="246">
        <v>347</v>
      </c>
      <c r="D170" s="246">
        <v>68.3</v>
      </c>
      <c r="E170" s="246">
        <v>9.5000000000000001E-2</v>
      </c>
      <c r="F170" s="246">
        <v>0.13600000000000001</v>
      </c>
      <c r="G170" s="242">
        <v>1</v>
      </c>
      <c r="H170" s="244" t="s">
        <v>169</v>
      </c>
      <c r="I170" s="245">
        <v>95</v>
      </c>
      <c r="J170" s="246">
        <v>2328</v>
      </c>
      <c r="K170" s="246">
        <v>4.0999999999999996</v>
      </c>
      <c r="L170" s="246">
        <v>0.30399999999999999</v>
      </c>
      <c r="M170" s="246">
        <v>0.26700000000000002</v>
      </c>
      <c r="N170" s="241">
        <v>0</v>
      </c>
    </row>
    <row r="171" spans="1:14" ht="13.5" thickBot="1" x14ac:dyDescent="0.35">
      <c r="A171" s="244" t="s">
        <v>380</v>
      </c>
      <c r="B171" s="245">
        <v>236</v>
      </c>
      <c r="C171" s="246">
        <v>1716</v>
      </c>
      <c r="D171" s="246">
        <v>13.8</v>
      </c>
      <c r="E171" s="246">
        <v>0.36699999999999999</v>
      </c>
      <c r="F171" s="246">
        <v>0.318</v>
      </c>
      <c r="G171" s="242">
        <v>1</v>
      </c>
      <c r="H171" s="244" t="s">
        <v>499</v>
      </c>
      <c r="I171" s="245">
        <v>95</v>
      </c>
      <c r="J171" s="246">
        <v>682</v>
      </c>
      <c r="K171" s="246">
        <v>13.9</v>
      </c>
      <c r="L171" s="246">
        <v>0.34799999999999998</v>
      </c>
      <c r="M171" s="246">
        <v>0.35</v>
      </c>
      <c r="N171" s="241">
        <v>0</v>
      </c>
    </row>
    <row r="172" spans="1:14" ht="13.5" thickBot="1" x14ac:dyDescent="0.35">
      <c r="A172" s="244" t="s">
        <v>381</v>
      </c>
      <c r="B172" s="245">
        <v>234</v>
      </c>
      <c r="C172" s="246">
        <v>1208</v>
      </c>
      <c r="D172" s="246">
        <v>19.399999999999999</v>
      </c>
      <c r="E172" s="246">
        <v>0.192</v>
      </c>
      <c r="F172" s="246">
        <v>0.16500000000000001</v>
      </c>
      <c r="G172" s="242">
        <v>1</v>
      </c>
      <c r="H172" s="244" t="s">
        <v>277</v>
      </c>
      <c r="I172" s="245">
        <v>94</v>
      </c>
      <c r="J172" s="246">
        <v>727</v>
      </c>
      <c r="K172" s="246">
        <v>12.9</v>
      </c>
      <c r="L172" s="246">
        <v>0.26100000000000001</v>
      </c>
      <c r="M172" s="246">
        <v>0.219</v>
      </c>
      <c r="N172" s="241">
        <v>0</v>
      </c>
    </row>
    <row r="173" spans="1:14" ht="13.5" thickBot="1" x14ac:dyDescent="0.35">
      <c r="A173" s="244" t="s">
        <v>382</v>
      </c>
      <c r="B173" s="245">
        <v>233</v>
      </c>
      <c r="C173" s="246">
        <v>399</v>
      </c>
      <c r="D173" s="246">
        <v>58.4</v>
      </c>
      <c r="E173" s="246">
        <v>0.192</v>
      </c>
      <c r="F173" s="246">
        <v>0.253</v>
      </c>
      <c r="G173" s="242">
        <v>1</v>
      </c>
      <c r="H173" s="244" t="s">
        <v>500</v>
      </c>
      <c r="I173" s="245">
        <v>92</v>
      </c>
      <c r="J173" s="246">
        <v>181</v>
      </c>
      <c r="K173" s="246">
        <v>50.8</v>
      </c>
      <c r="L173" s="246">
        <v>0.23499999999999999</v>
      </c>
      <c r="M173" s="246">
        <v>0.22500000000000001</v>
      </c>
      <c r="N173" s="241">
        <v>0</v>
      </c>
    </row>
    <row r="174" spans="1:14" ht="13.5" thickBot="1" x14ac:dyDescent="0.35">
      <c r="A174" s="244" t="s">
        <v>383</v>
      </c>
      <c r="B174" s="245">
        <v>232</v>
      </c>
      <c r="C174" s="246">
        <v>284</v>
      </c>
      <c r="D174" s="246">
        <v>81.7</v>
      </c>
      <c r="E174" s="246">
        <v>0.16400000000000001</v>
      </c>
      <c r="F174" s="246">
        <v>0.17</v>
      </c>
      <c r="G174" s="242">
        <v>1</v>
      </c>
      <c r="H174" s="244" t="s">
        <v>501</v>
      </c>
      <c r="I174" s="245">
        <v>91</v>
      </c>
      <c r="J174" s="246">
        <v>875</v>
      </c>
      <c r="K174" s="246">
        <v>10.4</v>
      </c>
      <c r="L174" s="246">
        <v>0.38900000000000001</v>
      </c>
      <c r="M174" s="246">
        <v>0.24399999999999999</v>
      </c>
      <c r="N174" s="241">
        <v>0</v>
      </c>
    </row>
    <row r="175" spans="1:14" ht="13.5" thickBot="1" x14ac:dyDescent="0.35">
      <c r="A175" s="244" t="s">
        <v>384</v>
      </c>
      <c r="B175" s="245">
        <v>231</v>
      </c>
      <c r="C175" s="246">
        <v>513</v>
      </c>
      <c r="D175" s="246">
        <v>45</v>
      </c>
      <c r="E175" s="246">
        <v>0.21099999999999999</v>
      </c>
      <c r="F175" s="246">
        <v>0.249</v>
      </c>
      <c r="G175" s="242">
        <v>1</v>
      </c>
      <c r="H175" s="244" t="s">
        <v>140</v>
      </c>
      <c r="I175" s="245">
        <v>90</v>
      </c>
      <c r="J175" s="246">
        <v>1642</v>
      </c>
      <c r="K175" s="246">
        <v>5.5</v>
      </c>
      <c r="L175" s="246">
        <v>0.17399999999999999</v>
      </c>
      <c r="M175" s="246">
        <v>0.106</v>
      </c>
      <c r="N175" s="241">
        <v>0</v>
      </c>
    </row>
    <row r="176" spans="1:14" ht="13.5" thickBot="1" x14ac:dyDescent="0.35">
      <c r="A176" s="244" t="s">
        <v>385</v>
      </c>
      <c r="B176" s="245">
        <v>230</v>
      </c>
      <c r="C176" s="246">
        <v>257</v>
      </c>
      <c r="D176" s="246">
        <v>89.5</v>
      </c>
      <c r="E176" s="246">
        <v>0.245</v>
      </c>
      <c r="F176" s="246">
        <v>0.17799999999999999</v>
      </c>
      <c r="G176" s="242">
        <v>1</v>
      </c>
      <c r="H176" s="244" t="s">
        <v>502</v>
      </c>
      <c r="I176" s="245">
        <v>90</v>
      </c>
      <c r="J176" s="246">
        <v>540</v>
      </c>
      <c r="K176" s="246">
        <v>16.7</v>
      </c>
      <c r="L176" s="246">
        <v>0.105</v>
      </c>
      <c r="M176" s="246">
        <v>0.157</v>
      </c>
      <c r="N176" s="241">
        <v>0</v>
      </c>
    </row>
    <row r="177" spans="1:14" ht="13.5" thickBot="1" x14ac:dyDescent="0.35">
      <c r="A177" s="244" t="s">
        <v>386</v>
      </c>
      <c r="B177" s="245">
        <v>229</v>
      </c>
      <c r="C177" s="246">
        <v>475</v>
      </c>
      <c r="D177" s="246">
        <v>48.2</v>
      </c>
      <c r="E177" s="246">
        <v>0.21199999999999999</v>
      </c>
      <c r="F177" s="246">
        <v>0.16500000000000001</v>
      </c>
      <c r="G177" s="242">
        <v>1</v>
      </c>
      <c r="H177" s="244" t="s">
        <v>503</v>
      </c>
      <c r="I177" s="245">
        <v>89</v>
      </c>
      <c r="J177" s="246">
        <v>353</v>
      </c>
      <c r="K177" s="246">
        <v>25.2</v>
      </c>
      <c r="L177" s="246">
        <v>0.2</v>
      </c>
      <c r="M177" s="246">
        <v>0.251</v>
      </c>
      <c r="N177" s="241">
        <v>0</v>
      </c>
    </row>
    <row r="178" spans="1:14" ht="13.5" thickBot="1" x14ac:dyDescent="0.35">
      <c r="A178" s="244" t="s">
        <v>387</v>
      </c>
      <c r="B178" s="245">
        <v>226</v>
      </c>
      <c r="C178" s="246">
        <v>419</v>
      </c>
      <c r="D178" s="246">
        <v>53.9</v>
      </c>
      <c r="E178" s="246">
        <v>0.245</v>
      </c>
      <c r="F178" s="246">
        <v>0.23100000000000001</v>
      </c>
      <c r="G178" s="242">
        <v>1</v>
      </c>
      <c r="H178" s="244" t="s">
        <v>504</v>
      </c>
      <c r="I178" s="245">
        <v>88</v>
      </c>
      <c r="J178" s="246">
        <v>1876</v>
      </c>
      <c r="K178" s="246">
        <v>4.7</v>
      </c>
      <c r="L178" s="246">
        <v>0.33300000000000002</v>
      </c>
      <c r="M178" s="246">
        <v>0.29399999999999998</v>
      </c>
      <c r="N178" s="241">
        <v>0</v>
      </c>
    </row>
    <row r="179" spans="1:14" ht="13.5" thickBot="1" x14ac:dyDescent="0.35">
      <c r="A179" s="244" t="s">
        <v>388</v>
      </c>
      <c r="B179" s="245">
        <v>225</v>
      </c>
      <c r="C179" s="246">
        <v>602</v>
      </c>
      <c r="D179" s="246">
        <v>37.4</v>
      </c>
      <c r="E179" s="246">
        <v>0.21</v>
      </c>
      <c r="F179" s="246">
        <v>0.23100000000000001</v>
      </c>
      <c r="G179" s="242">
        <v>1</v>
      </c>
      <c r="H179" s="244" t="s">
        <v>505</v>
      </c>
      <c r="I179" s="245">
        <v>85</v>
      </c>
      <c r="J179" s="246">
        <v>1920</v>
      </c>
      <c r="K179" s="246">
        <v>4.4000000000000004</v>
      </c>
      <c r="L179" s="246">
        <v>0.316</v>
      </c>
      <c r="M179" s="246">
        <v>0.23300000000000001</v>
      </c>
      <c r="N179" s="241">
        <v>0</v>
      </c>
    </row>
    <row r="180" spans="1:14" ht="13.5" thickBot="1" x14ac:dyDescent="0.35">
      <c r="A180" s="244" t="s">
        <v>389</v>
      </c>
      <c r="B180" s="245">
        <v>224</v>
      </c>
      <c r="C180" s="246">
        <v>478</v>
      </c>
      <c r="D180" s="246">
        <v>46.9</v>
      </c>
      <c r="E180" s="246">
        <v>0.21199999999999999</v>
      </c>
      <c r="F180" s="246">
        <v>0.223</v>
      </c>
      <c r="G180" s="242">
        <v>1</v>
      </c>
      <c r="H180" s="244" t="s">
        <v>506</v>
      </c>
      <c r="I180" s="245">
        <v>84</v>
      </c>
      <c r="J180" s="246">
        <v>1633</v>
      </c>
      <c r="K180" s="246">
        <v>5.0999999999999996</v>
      </c>
      <c r="L180" s="246">
        <v>0.318</v>
      </c>
      <c r="M180" s="246">
        <v>0.22</v>
      </c>
      <c r="N180" s="241">
        <v>0</v>
      </c>
    </row>
    <row r="181" spans="1:14" ht="13.5" thickBot="1" x14ac:dyDescent="0.35">
      <c r="A181" s="244" t="s">
        <v>342</v>
      </c>
      <c r="B181" s="245">
        <v>223</v>
      </c>
      <c r="C181" s="246">
        <v>831</v>
      </c>
      <c r="D181" s="246">
        <v>26.8</v>
      </c>
      <c r="E181" s="246">
        <v>0.17199999999999999</v>
      </c>
      <c r="F181" s="246">
        <v>0.20699999999999999</v>
      </c>
      <c r="G181" s="242">
        <v>1</v>
      </c>
      <c r="H181" s="244" t="s">
        <v>127</v>
      </c>
      <c r="I181" s="245">
        <v>83</v>
      </c>
      <c r="J181" s="246">
        <v>2829</v>
      </c>
      <c r="K181" s="246">
        <v>2.9</v>
      </c>
      <c r="L181" s="246">
        <v>0.2</v>
      </c>
      <c r="M181" s="246">
        <v>0.122</v>
      </c>
      <c r="N181" s="241">
        <v>0</v>
      </c>
    </row>
    <row r="182" spans="1:14" ht="13.5" thickBot="1" x14ac:dyDescent="0.35">
      <c r="A182" s="244" t="s">
        <v>390</v>
      </c>
      <c r="B182" s="245">
        <v>218</v>
      </c>
      <c r="C182" s="246">
        <v>229</v>
      </c>
      <c r="D182" s="246">
        <v>95.2</v>
      </c>
      <c r="E182" s="246">
        <v>0.19600000000000001</v>
      </c>
      <c r="F182" s="246">
        <v>0.18099999999999999</v>
      </c>
      <c r="G182" s="242">
        <v>1</v>
      </c>
      <c r="H182" s="244" t="s">
        <v>507</v>
      </c>
      <c r="I182" s="245">
        <v>82</v>
      </c>
      <c r="J182" s="246">
        <v>732</v>
      </c>
      <c r="K182" s="246">
        <v>11.2</v>
      </c>
      <c r="L182" s="246">
        <v>0.27300000000000002</v>
      </c>
      <c r="M182" s="246">
        <v>0.308</v>
      </c>
      <c r="N182" s="241">
        <v>0</v>
      </c>
    </row>
    <row r="183" spans="1:14" ht="13.5" thickBot="1" x14ac:dyDescent="0.35">
      <c r="A183" s="244" t="s">
        <v>391</v>
      </c>
      <c r="B183" s="245">
        <v>211</v>
      </c>
      <c r="C183" s="246">
        <v>819</v>
      </c>
      <c r="D183" s="246">
        <v>25.8</v>
      </c>
      <c r="E183" s="246">
        <v>0.13600000000000001</v>
      </c>
      <c r="F183" s="246">
        <v>0.17799999999999999</v>
      </c>
      <c r="G183" s="242">
        <v>1</v>
      </c>
      <c r="H183" s="244" t="s">
        <v>111</v>
      </c>
      <c r="I183" s="245">
        <v>81</v>
      </c>
      <c r="J183" s="246">
        <v>2303</v>
      </c>
      <c r="K183" s="246">
        <v>3.5</v>
      </c>
      <c r="L183" s="246">
        <v>0.35299999999999998</v>
      </c>
      <c r="M183" s="246">
        <v>0.25600000000000001</v>
      </c>
      <c r="N183" s="241">
        <v>0</v>
      </c>
    </row>
    <row r="184" spans="1:14" ht="13.5" thickBot="1" x14ac:dyDescent="0.35">
      <c r="A184" s="244" t="s">
        <v>392</v>
      </c>
      <c r="B184" s="245">
        <v>211</v>
      </c>
      <c r="C184" s="246">
        <v>1246</v>
      </c>
      <c r="D184" s="246">
        <v>16.899999999999999</v>
      </c>
      <c r="E184" s="246">
        <v>0.122</v>
      </c>
      <c r="F184" s="246">
        <v>0.19900000000000001</v>
      </c>
      <c r="G184" s="242">
        <v>1</v>
      </c>
      <c r="H184" s="244" t="s">
        <v>508</v>
      </c>
      <c r="I184" s="245">
        <v>81</v>
      </c>
      <c r="J184" s="246">
        <v>1533</v>
      </c>
      <c r="K184" s="246">
        <v>5.3</v>
      </c>
      <c r="L184" s="246">
        <v>0.222</v>
      </c>
      <c r="M184" s="246">
        <v>0.247</v>
      </c>
      <c r="N184" s="241">
        <v>0</v>
      </c>
    </row>
    <row r="185" spans="1:14" ht="13.5" thickBot="1" x14ac:dyDescent="0.35">
      <c r="A185" s="244" t="s">
        <v>393</v>
      </c>
      <c r="B185" s="245">
        <v>200</v>
      </c>
      <c r="C185" s="246">
        <v>274</v>
      </c>
      <c r="D185" s="246">
        <v>73</v>
      </c>
      <c r="E185" s="246">
        <v>0.224</v>
      </c>
      <c r="F185" s="246">
        <v>0.22800000000000001</v>
      </c>
      <c r="G185" s="242">
        <v>1</v>
      </c>
      <c r="H185" s="244" t="s">
        <v>167</v>
      </c>
      <c r="I185" s="245">
        <v>80</v>
      </c>
      <c r="J185" s="246">
        <v>1818</v>
      </c>
      <c r="K185" s="246">
        <v>4.4000000000000004</v>
      </c>
      <c r="L185" s="246">
        <v>0.27300000000000002</v>
      </c>
      <c r="M185" s="246">
        <v>0.23499999999999999</v>
      </c>
      <c r="N185" s="241">
        <v>0</v>
      </c>
    </row>
    <row r="186" spans="1:14" ht="13.5" thickBot="1" x14ac:dyDescent="0.35">
      <c r="A186" s="244" t="s">
        <v>394</v>
      </c>
      <c r="B186" s="245">
        <v>197</v>
      </c>
      <c r="C186" s="246">
        <v>228</v>
      </c>
      <c r="D186" s="246">
        <v>86.4</v>
      </c>
      <c r="E186" s="246">
        <v>0.125</v>
      </c>
      <c r="F186" s="246">
        <v>0.18099999999999999</v>
      </c>
      <c r="G186" s="242">
        <v>1</v>
      </c>
      <c r="H186" s="244" t="s">
        <v>509</v>
      </c>
      <c r="I186" s="245">
        <v>80</v>
      </c>
      <c r="J186" s="246">
        <v>698</v>
      </c>
      <c r="K186" s="246">
        <v>11.5</v>
      </c>
      <c r="L186" s="246">
        <v>0.158</v>
      </c>
      <c r="M186" s="246">
        <v>0.222</v>
      </c>
      <c r="N186" s="241">
        <v>0</v>
      </c>
    </row>
    <row r="187" spans="1:14" ht="13.5" thickBot="1" x14ac:dyDescent="0.35">
      <c r="A187" s="244" t="s">
        <v>395</v>
      </c>
      <c r="B187" s="245">
        <v>189</v>
      </c>
      <c r="C187" s="246">
        <v>1440</v>
      </c>
      <c r="D187" s="246">
        <v>13.1</v>
      </c>
      <c r="E187" s="246">
        <v>0.2</v>
      </c>
      <c r="F187" s="246">
        <v>0.17899999999999999</v>
      </c>
      <c r="G187" s="242">
        <v>1</v>
      </c>
      <c r="H187" s="244" t="s">
        <v>510</v>
      </c>
      <c r="I187" s="245">
        <v>79</v>
      </c>
      <c r="J187" s="246">
        <v>211</v>
      </c>
      <c r="K187" s="246">
        <v>37.4</v>
      </c>
      <c r="L187" s="246">
        <v>0.2</v>
      </c>
      <c r="M187" s="246">
        <v>0.19400000000000001</v>
      </c>
      <c r="N187" s="241">
        <v>0</v>
      </c>
    </row>
    <row r="188" spans="1:14" ht="13.5" thickBot="1" x14ac:dyDescent="0.35">
      <c r="A188" s="244" t="s">
        <v>396</v>
      </c>
      <c r="B188" s="245">
        <v>186</v>
      </c>
      <c r="C188" s="246">
        <v>387</v>
      </c>
      <c r="D188" s="246">
        <v>48.1</v>
      </c>
      <c r="E188" s="246">
        <v>0.121</v>
      </c>
      <c r="F188" s="246">
        <v>0.107</v>
      </c>
      <c r="G188" s="242">
        <v>1</v>
      </c>
      <c r="H188" s="244" t="s">
        <v>511</v>
      </c>
      <c r="I188" s="245">
        <v>77</v>
      </c>
      <c r="J188" s="246">
        <v>1006</v>
      </c>
      <c r="K188" s="246">
        <v>7.7</v>
      </c>
      <c r="L188" s="246">
        <v>0.15</v>
      </c>
      <c r="M188" s="246">
        <v>0.28999999999999998</v>
      </c>
      <c r="N188" s="241">
        <v>0</v>
      </c>
    </row>
    <row r="189" spans="1:14" ht="13.5" thickBot="1" x14ac:dyDescent="0.35">
      <c r="A189" s="244" t="s">
        <v>397</v>
      </c>
      <c r="B189" s="245">
        <v>185</v>
      </c>
      <c r="C189" s="246">
        <v>1655</v>
      </c>
      <c r="D189" s="246">
        <v>11.2</v>
      </c>
      <c r="E189" s="246">
        <v>0.33300000000000002</v>
      </c>
      <c r="F189" s="246">
        <v>0.247</v>
      </c>
      <c r="G189" s="242">
        <v>1</v>
      </c>
      <c r="H189" s="244" t="s">
        <v>512</v>
      </c>
      <c r="I189" s="245">
        <v>76</v>
      </c>
      <c r="J189" s="246">
        <v>404</v>
      </c>
      <c r="K189" s="246">
        <v>18.8</v>
      </c>
      <c r="L189" s="246">
        <v>0.42899999999999999</v>
      </c>
      <c r="M189" s="246">
        <v>0.35799999999999998</v>
      </c>
      <c r="N189" s="241">
        <v>0</v>
      </c>
    </row>
    <row r="190" spans="1:14" ht="13.5" thickBot="1" x14ac:dyDescent="0.35">
      <c r="A190" s="244" t="s">
        <v>398</v>
      </c>
      <c r="B190" s="245">
        <v>184</v>
      </c>
      <c r="C190" s="246">
        <v>881</v>
      </c>
      <c r="D190" s="246">
        <v>20.9</v>
      </c>
      <c r="E190" s="246">
        <v>0.22900000000000001</v>
      </c>
      <c r="F190" s="246">
        <v>0.22</v>
      </c>
      <c r="G190" s="242">
        <v>1</v>
      </c>
      <c r="H190" s="244" t="s">
        <v>513</v>
      </c>
      <c r="I190" s="245">
        <v>75</v>
      </c>
      <c r="J190" s="246">
        <v>465</v>
      </c>
      <c r="K190" s="246">
        <v>16.100000000000001</v>
      </c>
      <c r="L190" s="246">
        <v>0.33300000000000002</v>
      </c>
      <c r="M190" s="246">
        <v>0.25600000000000001</v>
      </c>
      <c r="N190" s="241">
        <v>0</v>
      </c>
    </row>
    <row r="191" spans="1:14" ht="13.5" thickBot="1" x14ac:dyDescent="0.35">
      <c r="A191" s="244" t="s">
        <v>399</v>
      </c>
      <c r="B191" s="245">
        <v>178</v>
      </c>
      <c r="C191" s="246">
        <v>735</v>
      </c>
      <c r="D191" s="246">
        <v>24.2</v>
      </c>
      <c r="E191" s="246">
        <v>8.6999999999999994E-2</v>
      </c>
      <c r="F191" s="246">
        <v>0.17799999999999999</v>
      </c>
      <c r="G191" s="242">
        <v>1</v>
      </c>
      <c r="H191" s="244" t="s">
        <v>514</v>
      </c>
      <c r="I191" s="245">
        <v>75</v>
      </c>
      <c r="J191" s="246">
        <v>674</v>
      </c>
      <c r="K191" s="246">
        <v>11.1</v>
      </c>
      <c r="L191" s="246">
        <v>0.22700000000000001</v>
      </c>
      <c r="M191" s="246">
        <v>0.23699999999999999</v>
      </c>
      <c r="N191" s="241">
        <v>0</v>
      </c>
    </row>
    <row r="192" spans="1:14" ht="13.5" thickBot="1" x14ac:dyDescent="0.35">
      <c r="A192" s="244" t="s">
        <v>400</v>
      </c>
      <c r="B192" s="245">
        <v>167</v>
      </c>
      <c r="C192" s="246">
        <v>365</v>
      </c>
      <c r="D192" s="246">
        <v>45.8</v>
      </c>
      <c r="E192" s="246">
        <v>0.35099999999999998</v>
      </c>
      <c r="F192" s="246">
        <v>0.28699999999999998</v>
      </c>
      <c r="G192" s="242">
        <v>1</v>
      </c>
      <c r="H192" s="244" t="s">
        <v>515</v>
      </c>
      <c r="I192" s="245">
        <v>75</v>
      </c>
      <c r="J192" s="246">
        <v>1008</v>
      </c>
      <c r="K192" s="246">
        <v>7.4</v>
      </c>
      <c r="L192" s="246">
        <v>0.38100000000000001</v>
      </c>
      <c r="M192" s="246">
        <v>0.29499999999999998</v>
      </c>
      <c r="N192" s="241">
        <v>0</v>
      </c>
    </row>
    <row r="193" spans="1:14" ht="13.5" thickBot="1" x14ac:dyDescent="0.35">
      <c r="A193" s="244" t="s">
        <v>401</v>
      </c>
      <c r="B193" s="245">
        <v>166</v>
      </c>
      <c r="C193" s="246">
        <v>439</v>
      </c>
      <c r="D193" s="246">
        <v>37.799999999999997</v>
      </c>
      <c r="E193" s="246">
        <v>9.5000000000000001E-2</v>
      </c>
      <c r="F193" s="246">
        <v>0.14599999999999999</v>
      </c>
      <c r="G193" s="242">
        <v>1</v>
      </c>
      <c r="H193" s="244" t="s">
        <v>516</v>
      </c>
      <c r="I193" s="245">
        <v>74</v>
      </c>
      <c r="J193" s="246">
        <v>168</v>
      </c>
      <c r="K193" s="246">
        <v>44</v>
      </c>
      <c r="L193" s="246">
        <v>0.29399999999999998</v>
      </c>
      <c r="M193" s="246">
        <v>0.254</v>
      </c>
      <c r="N193" s="241">
        <v>0</v>
      </c>
    </row>
    <row r="194" spans="1:14" ht="13.5" thickBot="1" x14ac:dyDescent="0.35">
      <c r="A194" s="244" t="s">
        <v>402</v>
      </c>
      <c r="B194" s="245">
        <v>164</v>
      </c>
      <c r="C194" s="246">
        <v>412</v>
      </c>
      <c r="D194" s="246">
        <v>39.799999999999997</v>
      </c>
      <c r="E194" s="246">
        <v>0.129</v>
      </c>
      <c r="F194" s="246">
        <v>0.193</v>
      </c>
      <c r="G194" s="242">
        <v>1</v>
      </c>
      <c r="H194" s="244" t="s">
        <v>517</v>
      </c>
      <c r="I194" s="245">
        <v>74</v>
      </c>
      <c r="J194" s="246">
        <v>1982</v>
      </c>
      <c r="K194" s="246">
        <v>3.7</v>
      </c>
      <c r="L194" s="246">
        <v>0.13300000000000001</v>
      </c>
      <c r="M194" s="246">
        <v>0.155</v>
      </c>
      <c r="N194" s="241">
        <v>0</v>
      </c>
    </row>
    <row r="195" spans="1:14" ht="13.5" thickBot="1" x14ac:dyDescent="0.35">
      <c r="A195" s="244" t="s">
        <v>403</v>
      </c>
      <c r="B195" s="245">
        <v>163</v>
      </c>
      <c r="C195" s="246">
        <v>718</v>
      </c>
      <c r="D195" s="246">
        <v>22.7</v>
      </c>
      <c r="E195" s="246">
        <v>0.27</v>
      </c>
      <c r="F195" s="246">
        <v>0.157</v>
      </c>
      <c r="G195" s="242">
        <v>1</v>
      </c>
      <c r="H195" s="244" t="s">
        <v>518</v>
      </c>
      <c r="I195" s="245">
        <v>73</v>
      </c>
      <c r="J195" s="246">
        <v>653</v>
      </c>
      <c r="K195" s="246">
        <v>11.2</v>
      </c>
      <c r="L195" s="246">
        <v>0.22700000000000001</v>
      </c>
      <c r="M195" s="246">
        <v>0.189</v>
      </c>
      <c r="N195" s="241">
        <v>0</v>
      </c>
    </row>
    <row r="196" spans="1:14" ht="13.5" thickBot="1" x14ac:dyDescent="0.35">
      <c r="A196" s="244" t="s">
        <v>404</v>
      </c>
      <c r="B196" s="245">
        <v>160</v>
      </c>
      <c r="C196" s="246">
        <v>204</v>
      </c>
      <c r="D196" s="246">
        <v>78.400000000000006</v>
      </c>
      <c r="E196" s="246">
        <v>0.14299999999999999</v>
      </c>
      <c r="F196" s="246">
        <v>0.16500000000000001</v>
      </c>
      <c r="G196" s="242">
        <v>1</v>
      </c>
      <c r="H196" s="244" t="s">
        <v>389</v>
      </c>
      <c r="I196" s="245">
        <v>69</v>
      </c>
      <c r="J196" s="246">
        <v>478</v>
      </c>
      <c r="K196" s="246">
        <v>14.4</v>
      </c>
      <c r="L196" s="246">
        <v>0.154</v>
      </c>
      <c r="M196" s="246">
        <v>0.109</v>
      </c>
      <c r="N196" s="241">
        <v>0</v>
      </c>
    </row>
    <row r="197" spans="1:14" ht="13.5" thickBot="1" x14ac:dyDescent="0.35">
      <c r="A197" s="244" t="s">
        <v>405</v>
      </c>
      <c r="B197" s="245">
        <v>160</v>
      </c>
      <c r="C197" s="246">
        <v>178</v>
      </c>
      <c r="D197" s="246">
        <v>89.9</v>
      </c>
      <c r="E197" s="246">
        <v>0.10299999999999999</v>
      </c>
      <c r="F197" s="246">
        <v>0.13400000000000001</v>
      </c>
      <c r="G197" s="242">
        <v>1</v>
      </c>
      <c r="H197" s="244" t="s">
        <v>519</v>
      </c>
      <c r="I197" s="245">
        <v>68</v>
      </c>
      <c r="J197" s="246">
        <v>850</v>
      </c>
      <c r="K197" s="246">
        <v>8</v>
      </c>
      <c r="L197" s="246">
        <v>0.214</v>
      </c>
      <c r="M197" s="246">
        <v>0.21</v>
      </c>
      <c r="N197" s="241">
        <v>0</v>
      </c>
    </row>
    <row r="198" spans="1:14" ht="13.5" thickBot="1" x14ac:dyDescent="0.35">
      <c r="A198" s="244" t="s">
        <v>406</v>
      </c>
      <c r="B198" s="245">
        <v>159</v>
      </c>
      <c r="C198" s="246">
        <v>233</v>
      </c>
      <c r="D198" s="246">
        <v>68.2</v>
      </c>
      <c r="E198" s="246">
        <v>0.14699999999999999</v>
      </c>
      <c r="F198" s="246">
        <v>0.24299999999999999</v>
      </c>
      <c r="G198" s="242">
        <v>1</v>
      </c>
      <c r="H198" s="244" t="s">
        <v>520</v>
      </c>
      <c r="I198" s="245">
        <v>68</v>
      </c>
      <c r="J198" s="246">
        <v>160</v>
      </c>
      <c r="K198" s="246">
        <v>42.5</v>
      </c>
      <c r="L198" s="246">
        <v>0.33300000000000002</v>
      </c>
      <c r="M198" s="246">
        <v>0.27300000000000002</v>
      </c>
      <c r="N198" s="241">
        <v>0</v>
      </c>
    </row>
    <row r="199" spans="1:14" ht="13.5" thickBot="1" x14ac:dyDescent="0.35">
      <c r="A199" s="244" t="s">
        <v>407</v>
      </c>
      <c r="B199" s="245">
        <v>157</v>
      </c>
      <c r="C199" s="246">
        <v>383</v>
      </c>
      <c r="D199" s="246">
        <v>41</v>
      </c>
      <c r="E199" s="246">
        <v>0.23499999999999999</v>
      </c>
      <c r="F199" s="246">
        <v>0.27</v>
      </c>
      <c r="G199" s="242">
        <v>1</v>
      </c>
      <c r="H199" s="244" t="s">
        <v>521</v>
      </c>
      <c r="I199" s="245">
        <v>67</v>
      </c>
      <c r="J199" s="246">
        <v>2527</v>
      </c>
      <c r="K199" s="246">
        <v>2.7</v>
      </c>
      <c r="L199" s="246">
        <v>0.158</v>
      </c>
      <c r="M199" s="246">
        <v>0.17199999999999999</v>
      </c>
      <c r="N199" s="241">
        <v>0</v>
      </c>
    </row>
    <row r="200" spans="1:14" ht="13.5" thickBot="1" x14ac:dyDescent="0.35">
      <c r="A200" s="244" t="s">
        <v>408</v>
      </c>
      <c r="B200" s="245">
        <v>154</v>
      </c>
      <c r="C200" s="246">
        <v>220</v>
      </c>
      <c r="D200" s="246">
        <v>70</v>
      </c>
      <c r="E200" s="246">
        <v>0.13900000000000001</v>
      </c>
      <c r="F200" s="246">
        <v>0.22</v>
      </c>
      <c r="G200" s="242">
        <v>1</v>
      </c>
      <c r="H200" s="244" t="s">
        <v>522</v>
      </c>
      <c r="I200" s="245">
        <v>65</v>
      </c>
      <c r="J200" s="246">
        <v>732</v>
      </c>
      <c r="K200" s="246">
        <v>8.9</v>
      </c>
      <c r="L200" s="246">
        <v>0.23100000000000001</v>
      </c>
      <c r="M200" s="246">
        <v>0.28000000000000003</v>
      </c>
      <c r="N200" s="241">
        <v>0</v>
      </c>
    </row>
    <row r="201" spans="1:14" ht="13.5" thickBot="1" x14ac:dyDescent="0.35">
      <c r="A201" s="247" t="s">
        <v>409</v>
      </c>
      <c r="B201" s="245">
        <v>153</v>
      </c>
      <c r="C201" s="248">
        <v>433</v>
      </c>
      <c r="D201" s="248">
        <v>35.299999999999997</v>
      </c>
      <c r="E201" s="248">
        <v>0.20499999999999999</v>
      </c>
      <c r="F201" s="248">
        <v>0.14599999999999999</v>
      </c>
      <c r="G201" s="242">
        <v>1</v>
      </c>
      <c r="H201" s="247" t="s">
        <v>523</v>
      </c>
      <c r="I201" s="245">
        <v>64</v>
      </c>
      <c r="J201" s="248">
        <v>376</v>
      </c>
      <c r="K201" s="248">
        <v>17</v>
      </c>
      <c r="L201" s="248">
        <v>0.35299999999999998</v>
      </c>
      <c r="M201" s="248">
        <v>0.28299999999999997</v>
      </c>
      <c r="N201" s="241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EF4D-CFEA-48D2-BB4D-5492D1414649}">
  <dimension ref="A1:G66"/>
  <sheetViews>
    <sheetView workbookViewId="0">
      <selection activeCell="A52" sqref="A52"/>
    </sheetView>
  </sheetViews>
  <sheetFormatPr defaultRowHeight="14.5" x14ac:dyDescent="0.35"/>
  <cols>
    <col min="1" max="1" width="16.7265625" bestFit="1" customWidth="1"/>
  </cols>
  <sheetData>
    <row r="1" spans="1:7" x14ac:dyDescent="0.35">
      <c r="A1" t="s">
        <v>174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173</v>
      </c>
    </row>
    <row r="2" spans="1:7" ht="15" thickBot="1" x14ac:dyDescent="0.4">
      <c r="A2" s="2" t="s">
        <v>108</v>
      </c>
      <c r="B2" s="3">
        <v>33</v>
      </c>
      <c r="C2" s="3">
        <v>1004</v>
      </c>
      <c r="D2" s="3">
        <v>3.3</v>
      </c>
      <c r="E2" s="3">
        <v>0</v>
      </c>
      <c r="F2" s="3">
        <v>0.251</v>
      </c>
      <c r="G2" s="3">
        <v>-0.251</v>
      </c>
    </row>
    <row r="3" spans="1:7" ht="15" thickBot="1" x14ac:dyDescent="0.4">
      <c r="A3" s="2" t="s">
        <v>109</v>
      </c>
      <c r="B3" s="3">
        <v>46</v>
      </c>
      <c r="C3" s="3">
        <v>1700</v>
      </c>
      <c r="D3" s="3">
        <v>2.7</v>
      </c>
      <c r="E3" s="3">
        <v>4.2999999999999997E-2</v>
      </c>
      <c r="F3" s="3">
        <v>0.28499999999999998</v>
      </c>
      <c r="G3" s="3">
        <v>-0.24199999999999999</v>
      </c>
    </row>
    <row r="4" spans="1:7" ht="15" thickBot="1" x14ac:dyDescent="0.4">
      <c r="A4" s="2" t="s">
        <v>110</v>
      </c>
      <c r="B4" s="3">
        <v>41</v>
      </c>
      <c r="C4" s="3">
        <v>2790</v>
      </c>
      <c r="D4" s="3">
        <v>1.5</v>
      </c>
      <c r="E4" s="3">
        <v>2.4E-2</v>
      </c>
      <c r="F4" s="3">
        <v>0.23899999999999999</v>
      </c>
      <c r="G4" s="3">
        <v>-0.215</v>
      </c>
    </row>
    <row r="5" spans="1:7" ht="15" thickBot="1" x14ac:dyDescent="0.4">
      <c r="A5" s="2" t="s">
        <v>111</v>
      </c>
      <c r="B5" s="3">
        <v>43</v>
      </c>
      <c r="C5" s="3">
        <v>2303</v>
      </c>
      <c r="D5" s="3">
        <v>1.9</v>
      </c>
      <c r="E5" s="3">
        <v>4.7E-2</v>
      </c>
      <c r="F5" s="3">
        <v>0.26100000000000001</v>
      </c>
      <c r="G5" s="3">
        <v>-0.214</v>
      </c>
    </row>
    <row r="6" spans="1:7" ht="15" thickBot="1" x14ac:dyDescent="0.4">
      <c r="A6" s="2" t="s">
        <v>112</v>
      </c>
      <c r="B6" s="3">
        <v>30</v>
      </c>
      <c r="C6" s="3">
        <v>1010</v>
      </c>
      <c r="D6" s="3">
        <v>3</v>
      </c>
      <c r="E6" s="3">
        <v>0</v>
      </c>
      <c r="F6" s="3">
        <v>0.21199999999999999</v>
      </c>
      <c r="G6" s="3">
        <v>-0.21199999999999999</v>
      </c>
    </row>
    <row r="7" spans="1:7" ht="15" thickBot="1" x14ac:dyDescent="0.4">
      <c r="A7" s="2" t="s">
        <v>113</v>
      </c>
      <c r="B7" s="3">
        <v>32</v>
      </c>
      <c r="C7" s="3">
        <v>1685</v>
      </c>
      <c r="D7" s="3">
        <v>1.9</v>
      </c>
      <c r="E7" s="3">
        <v>0.125</v>
      </c>
      <c r="F7" s="3">
        <v>0.32900000000000001</v>
      </c>
      <c r="G7" s="3">
        <v>-0.20399999999999999</v>
      </c>
    </row>
    <row r="8" spans="1:7" ht="15" thickBot="1" x14ac:dyDescent="0.4">
      <c r="A8" s="2" t="s">
        <v>114</v>
      </c>
      <c r="B8" s="3">
        <v>67</v>
      </c>
      <c r="C8" s="3">
        <v>2195</v>
      </c>
      <c r="D8" s="3">
        <v>3.1</v>
      </c>
      <c r="E8" s="3">
        <v>0.09</v>
      </c>
      <c r="F8" s="3">
        <v>0.28799999999999998</v>
      </c>
      <c r="G8" s="3">
        <v>-0.19800000000000001</v>
      </c>
    </row>
    <row r="9" spans="1:7" ht="15" thickBot="1" x14ac:dyDescent="0.4">
      <c r="A9" s="2" t="s">
        <v>115</v>
      </c>
      <c r="B9" s="3">
        <v>47</v>
      </c>
      <c r="C9" s="3">
        <v>2066</v>
      </c>
      <c r="D9" s="3">
        <v>2.2999999999999998</v>
      </c>
      <c r="E9" s="3">
        <v>6.4000000000000001E-2</v>
      </c>
      <c r="F9" s="3">
        <v>0.26200000000000001</v>
      </c>
      <c r="G9" s="3">
        <v>-0.19800000000000001</v>
      </c>
    </row>
    <row r="10" spans="1:7" ht="15" thickBot="1" x14ac:dyDescent="0.4">
      <c r="A10" s="2" t="s">
        <v>116</v>
      </c>
      <c r="B10" s="3">
        <v>99</v>
      </c>
      <c r="C10" s="3">
        <v>2268</v>
      </c>
      <c r="D10" s="3">
        <v>4.4000000000000004</v>
      </c>
      <c r="E10" s="3">
        <v>5.0999999999999997E-2</v>
      </c>
      <c r="F10" s="3">
        <v>0.246</v>
      </c>
      <c r="G10" s="3">
        <v>-0.19500000000000001</v>
      </c>
    </row>
    <row r="11" spans="1:7" ht="15" thickBot="1" x14ac:dyDescent="0.4">
      <c r="A11" s="2" t="s">
        <v>117</v>
      </c>
      <c r="B11" s="3">
        <v>37</v>
      </c>
      <c r="C11" s="3">
        <v>1725</v>
      </c>
      <c r="D11" s="3">
        <v>2.1</v>
      </c>
      <c r="E11" s="3">
        <v>5.3999999999999999E-2</v>
      </c>
      <c r="F11" s="3">
        <v>0.23899999999999999</v>
      </c>
      <c r="G11" s="3">
        <v>-0.185</v>
      </c>
    </row>
    <row r="12" spans="1:7" ht="15" thickBot="1" x14ac:dyDescent="0.4">
      <c r="A12" s="2" t="s">
        <v>118</v>
      </c>
      <c r="B12" s="3">
        <v>49</v>
      </c>
      <c r="C12" s="3">
        <v>2572</v>
      </c>
      <c r="D12" s="3">
        <v>1.9</v>
      </c>
      <c r="E12" s="3">
        <v>8.2000000000000003E-2</v>
      </c>
      <c r="F12" s="3">
        <v>0.26200000000000001</v>
      </c>
      <c r="G12" s="3">
        <v>-0.18</v>
      </c>
    </row>
    <row r="13" spans="1:7" ht="15" thickBot="1" x14ac:dyDescent="0.4">
      <c r="A13" s="2" t="s">
        <v>119</v>
      </c>
      <c r="B13" s="3">
        <v>53</v>
      </c>
      <c r="C13" s="3">
        <v>1761</v>
      </c>
      <c r="D13" s="3">
        <v>3</v>
      </c>
      <c r="E13" s="3">
        <v>5.7000000000000002E-2</v>
      </c>
      <c r="F13" s="3">
        <v>0.23499999999999999</v>
      </c>
      <c r="G13" s="3">
        <v>-0.17799999999999999</v>
      </c>
    </row>
    <row r="14" spans="1:7" ht="15" thickBot="1" x14ac:dyDescent="0.4">
      <c r="A14" s="2" t="s">
        <v>120</v>
      </c>
      <c r="B14" s="3">
        <v>43</v>
      </c>
      <c r="C14" s="3">
        <v>2618</v>
      </c>
      <c r="D14" s="3">
        <v>1.6</v>
      </c>
      <c r="E14" s="3">
        <v>7.0000000000000007E-2</v>
      </c>
      <c r="F14" s="3">
        <v>0.248</v>
      </c>
      <c r="G14" s="3">
        <v>-0.17799999999999999</v>
      </c>
    </row>
    <row r="15" spans="1:7" ht="15" thickBot="1" x14ac:dyDescent="0.4">
      <c r="A15" s="2" t="s">
        <v>121</v>
      </c>
      <c r="B15" s="3">
        <v>70</v>
      </c>
      <c r="C15" s="3">
        <v>2878</v>
      </c>
      <c r="D15" s="3">
        <v>2.4</v>
      </c>
      <c r="E15" s="3">
        <v>0.1</v>
      </c>
      <c r="F15" s="3">
        <v>0.27700000000000002</v>
      </c>
      <c r="G15" s="3">
        <v>-0.17699999999999999</v>
      </c>
    </row>
    <row r="16" spans="1:7" ht="15" thickBot="1" x14ac:dyDescent="0.4">
      <c r="A16" s="2" t="s">
        <v>122</v>
      </c>
      <c r="B16" s="3">
        <v>75</v>
      </c>
      <c r="C16" s="3">
        <v>1768</v>
      </c>
      <c r="D16" s="3">
        <v>4.2</v>
      </c>
      <c r="E16" s="3">
        <v>0.08</v>
      </c>
      <c r="F16" s="3">
        <v>0.25</v>
      </c>
      <c r="G16" s="3">
        <v>-0.17</v>
      </c>
    </row>
    <row r="17" spans="1:7" ht="15" thickBot="1" x14ac:dyDescent="0.4">
      <c r="A17" s="2" t="s">
        <v>123</v>
      </c>
      <c r="B17" s="3">
        <v>45</v>
      </c>
      <c r="C17" s="3">
        <v>2460</v>
      </c>
      <c r="D17" s="3">
        <v>1.8</v>
      </c>
      <c r="E17" s="3">
        <v>6.7000000000000004E-2</v>
      </c>
      <c r="F17" s="3">
        <v>0.23599999999999999</v>
      </c>
      <c r="G17" s="3">
        <v>-0.16900000000000001</v>
      </c>
    </row>
    <row r="18" spans="1:7" ht="15" thickBot="1" x14ac:dyDescent="0.4">
      <c r="A18" s="2" t="s">
        <v>124</v>
      </c>
      <c r="B18" s="3">
        <v>61</v>
      </c>
      <c r="C18" s="3">
        <v>2112</v>
      </c>
      <c r="D18" s="3">
        <v>2.9</v>
      </c>
      <c r="E18" s="3">
        <v>6.6000000000000003E-2</v>
      </c>
      <c r="F18" s="3">
        <v>0.23499999999999999</v>
      </c>
      <c r="G18" s="3">
        <v>-0.16900000000000001</v>
      </c>
    </row>
    <row r="19" spans="1:7" ht="15" thickBot="1" x14ac:dyDescent="0.4">
      <c r="A19" s="2" t="s">
        <v>125</v>
      </c>
      <c r="B19" s="3">
        <v>42</v>
      </c>
      <c r="C19" s="3">
        <v>1746</v>
      </c>
      <c r="D19" s="3">
        <v>2.4</v>
      </c>
      <c r="E19" s="3">
        <v>7.0999999999999994E-2</v>
      </c>
      <c r="F19" s="3">
        <v>0.24</v>
      </c>
      <c r="G19" s="3">
        <v>-0.16900000000000001</v>
      </c>
    </row>
    <row r="20" spans="1:7" ht="15" thickBot="1" x14ac:dyDescent="0.4">
      <c r="A20" s="2" t="s">
        <v>126</v>
      </c>
      <c r="B20" s="3">
        <v>41</v>
      </c>
      <c r="C20" s="3">
        <v>1759</v>
      </c>
      <c r="D20" s="3">
        <v>2.2999999999999998</v>
      </c>
      <c r="E20" s="3">
        <v>4.9000000000000002E-2</v>
      </c>
      <c r="F20" s="3">
        <v>0.21</v>
      </c>
      <c r="G20" s="3">
        <v>-0.161</v>
      </c>
    </row>
    <row r="21" spans="1:7" ht="15" thickBot="1" x14ac:dyDescent="0.4">
      <c r="A21" s="2" t="s">
        <v>127</v>
      </c>
      <c r="B21" s="3">
        <v>41</v>
      </c>
      <c r="C21" s="3">
        <v>2829</v>
      </c>
      <c r="D21" s="3">
        <v>1.4</v>
      </c>
      <c r="E21" s="3">
        <v>0.14599999999999999</v>
      </c>
      <c r="F21" s="3">
        <v>0.30599999999999999</v>
      </c>
      <c r="G21" s="3">
        <v>-0.16</v>
      </c>
    </row>
    <row r="22" spans="1:7" ht="15" thickBot="1" x14ac:dyDescent="0.4">
      <c r="A22" s="2" t="s">
        <v>128</v>
      </c>
      <c r="B22" s="3">
        <v>41</v>
      </c>
      <c r="C22" s="3">
        <v>2017</v>
      </c>
      <c r="D22" s="3">
        <v>2</v>
      </c>
      <c r="E22" s="3">
        <v>9.8000000000000004E-2</v>
      </c>
      <c r="F22" s="3">
        <v>0.255</v>
      </c>
      <c r="G22" s="3">
        <v>-0.157</v>
      </c>
    </row>
    <row r="23" spans="1:7" ht="15" thickBot="1" x14ac:dyDescent="0.4">
      <c r="A23" s="2" t="s">
        <v>129</v>
      </c>
      <c r="B23" s="3">
        <v>54</v>
      </c>
      <c r="C23" s="3">
        <v>1594</v>
      </c>
      <c r="D23" s="3">
        <v>3.4</v>
      </c>
      <c r="E23" s="3">
        <v>0.13</v>
      </c>
      <c r="F23" s="3">
        <v>0.28299999999999997</v>
      </c>
      <c r="G23" s="3">
        <v>-0.153</v>
      </c>
    </row>
    <row r="24" spans="1:7" ht="15" thickBot="1" x14ac:dyDescent="0.4">
      <c r="A24" s="2" t="s">
        <v>130</v>
      </c>
      <c r="B24" s="3">
        <v>50</v>
      </c>
      <c r="C24" s="3">
        <v>1840</v>
      </c>
      <c r="D24" s="3">
        <v>2.7</v>
      </c>
      <c r="E24" s="3">
        <v>0.08</v>
      </c>
      <c r="F24" s="3">
        <v>0.23300000000000001</v>
      </c>
      <c r="G24" s="3">
        <v>-0.153</v>
      </c>
    </row>
    <row r="25" spans="1:7" ht="15" thickBot="1" x14ac:dyDescent="0.4">
      <c r="A25" s="2" t="s">
        <v>131</v>
      </c>
      <c r="B25" s="3">
        <v>60</v>
      </c>
      <c r="C25" s="3">
        <v>2436</v>
      </c>
      <c r="D25" s="3">
        <v>2.5</v>
      </c>
      <c r="E25" s="3">
        <v>0.11700000000000001</v>
      </c>
      <c r="F25" s="3">
        <v>0.26800000000000002</v>
      </c>
      <c r="G25" s="3">
        <v>-0.151</v>
      </c>
    </row>
    <row r="26" spans="1:7" ht="15" thickBot="1" x14ac:dyDescent="0.4">
      <c r="A26" s="2" t="s">
        <v>132</v>
      </c>
      <c r="B26" s="3">
        <v>31</v>
      </c>
      <c r="C26" s="3">
        <v>2009</v>
      </c>
      <c r="D26" s="3">
        <v>1.5</v>
      </c>
      <c r="E26" s="3">
        <v>0.129</v>
      </c>
      <c r="F26" s="3">
        <v>0.28000000000000003</v>
      </c>
      <c r="G26" s="3">
        <v>-0.151</v>
      </c>
    </row>
    <row r="27" spans="1:7" ht="15" thickBot="1" x14ac:dyDescent="0.4">
      <c r="A27" s="2" t="s">
        <v>133</v>
      </c>
      <c r="B27" s="3">
        <v>75</v>
      </c>
      <c r="C27" s="3">
        <v>2085</v>
      </c>
      <c r="D27" s="3">
        <v>3.6</v>
      </c>
      <c r="E27" s="3">
        <v>0.12</v>
      </c>
      <c r="F27" s="3">
        <v>0.27</v>
      </c>
      <c r="G27" s="3">
        <v>-0.15</v>
      </c>
    </row>
    <row r="28" spans="1:7" ht="15" thickBot="1" x14ac:dyDescent="0.4">
      <c r="A28" s="2" t="s">
        <v>134</v>
      </c>
      <c r="B28" s="3">
        <v>61</v>
      </c>
      <c r="C28" s="3">
        <v>1538</v>
      </c>
      <c r="D28" s="3">
        <v>4</v>
      </c>
      <c r="E28" s="3">
        <v>0.115</v>
      </c>
      <c r="F28" s="3">
        <v>0.26400000000000001</v>
      </c>
      <c r="G28" s="3">
        <v>-0.14899999999999999</v>
      </c>
    </row>
    <row r="29" spans="1:7" ht="15" thickBot="1" x14ac:dyDescent="0.4">
      <c r="A29" s="2" t="s">
        <v>135</v>
      </c>
      <c r="B29" s="3">
        <v>44</v>
      </c>
      <c r="C29" s="3">
        <v>2505</v>
      </c>
      <c r="D29" s="3">
        <v>1.8</v>
      </c>
      <c r="E29" s="3">
        <v>0.114</v>
      </c>
      <c r="F29" s="3">
        <v>0.25800000000000001</v>
      </c>
      <c r="G29" s="3">
        <v>-0.14399999999999999</v>
      </c>
    </row>
    <row r="30" spans="1:7" ht="15" thickBot="1" x14ac:dyDescent="0.4">
      <c r="A30" s="2" t="s">
        <v>136</v>
      </c>
      <c r="B30" s="3">
        <v>41</v>
      </c>
      <c r="C30" s="3">
        <v>1387</v>
      </c>
      <c r="D30" s="3">
        <v>3</v>
      </c>
      <c r="E30" s="3">
        <v>7.2999999999999995E-2</v>
      </c>
      <c r="F30" s="3">
        <v>0.216</v>
      </c>
      <c r="G30" s="3">
        <v>-0.14299999999999999</v>
      </c>
    </row>
    <row r="31" spans="1:7" ht="15" thickBot="1" x14ac:dyDescent="0.4">
      <c r="A31" s="2" t="s">
        <v>137</v>
      </c>
      <c r="B31" s="3">
        <v>57</v>
      </c>
      <c r="C31" s="3">
        <v>2893</v>
      </c>
      <c r="D31" s="3">
        <v>2</v>
      </c>
      <c r="E31" s="3">
        <v>0.158</v>
      </c>
      <c r="F31" s="3">
        <v>0.29799999999999999</v>
      </c>
      <c r="G31" s="3">
        <v>-0.14000000000000001</v>
      </c>
    </row>
    <row r="32" spans="1:7" ht="15" thickBot="1" x14ac:dyDescent="0.4">
      <c r="A32" s="2" t="s">
        <v>138</v>
      </c>
      <c r="B32" s="3">
        <v>61</v>
      </c>
      <c r="C32" s="3">
        <v>2198</v>
      </c>
      <c r="D32" s="3">
        <v>2.8</v>
      </c>
      <c r="E32" s="3">
        <v>0.14799999999999999</v>
      </c>
      <c r="F32" s="3">
        <v>0.28699999999999998</v>
      </c>
      <c r="G32" s="3">
        <v>-0.13900000000000001</v>
      </c>
    </row>
    <row r="33" spans="1:7" ht="15" thickBot="1" x14ac:dyDescent="0.4">
      <c r="A33" s="2" t="s">
        <v>139</v>
      </c>
      <c r="B33" s="3">
        <v>72</v>
      </c>
      <c r="C33" s="3">
        <v>1656</v>
      </c>
      <c r="D33" s="3">
        <v>4.3</v>
      </c>
      <c r="E33" s="3">
        <v>0.111</v>
      </c>
      <c r="F33" s="3">
        <v>0.247</v>
      </c>
      <c r="G33" s="3">
        <v>-0.13600000000000001</v>
      </c>
    </row>
    <row r="34" spans="1:7" ht="15" thickBot="1" x14ac:dyDescent="0.4">
      <c r="A34" s="2" t="s">
        <v>140</v>
      </c>
      <c r="B34" s="3">
        <v>35</v>
      </c>
      <c r="C34" s="3">
        <v>1642</v>
      </c>
      <c r="D34" s="3">
        <v>2.1</v>
      </c>
      <c r="E34" s="3">
        <v>0.17100000000000001</v>
      </c>
      <c r="F34" s="3">
        <v>0.30599999999999999</v>
      </c>
      <c r="G34" s="3">
        <v>-0.13500000000000001</v>
      </c>
    </row>
    <row r="35" spans="1:7" ht="15" thickBot="1" x14ac:dyDescent="0.4">
      <c r="A35" s="2" t="s">
        <v>141</v>
      </c>
      <c r="B35" s="3">
        <v>30</v>
      </c>
      <c r="C35" s="3">
        <v>2049</v>
      </c>
      <c r="D35" s="3">
        <v>1.5</v>
      </c>
      <c r="E35" s="3">
        <v>3.3000000000000002E-2</v>
      </c>
      <c r="F35" s="3">
        <v>0.16500000000000001</v>
      </c>
      <c r="G35" s="3">
        <v>-0.13200000000000001</v>
      </c>
    </row>
    <row r="36" spans="1:7" ht="15" thickBot="1" x14ac:dyDescent="0.4">
      <c r="A36" s="2" t="s">
        <v>142</v>
      </c>
      <c r="B36" s="3">
        <v>34</v>
      </c>
      <c r="C36" s="3">
        <v>2044</v>
      </c>
      <c r="D36" s="3">
        <v>1.7</v>
      </c>
      <c r="E36" s="3">
        <v>0.121</v>
      </c>
      <c r="F36" s="3">
        <v>0.251</v>
      </c>
      <c r="G36" s="3">
        <v>-0.13</v>
      </c>
    </row>
    <row r="37" spans="1:7" ht="15" thickBot="1" x14ac:dyDescent="0.4">
      <c r="A37" s="2" t="s">
        <v>143</v>
      </c>
      <c r="B37" s="3">
        <v>82</v>
      </c>
      <c r="C37" s="3">
        <v>2262</v>
      </c>
      <c r="D37" s="3">
        <v>3.6</v>
      </c>
      <c r="E37" s="3">
        <v>9.8000000000000004E-2</v>
      </c>
      <c r="F37" s="3">
        <v>0.22700000000000001</v>
      </c>
      <c r="G37" s="3">
        <v>-0.129</v>
      </c>
    </row>
    <row r="38" spans="1:7" ht="15" thickBot="1" x14ac:dyDescent="0.4">
      <c r="A38" s="2" t="s">
        <v>144</v>
      </c>
      <c r="B38" s="3">
        <v>68</v>
      </c>
      <c r="C38" s="3">
        <v>2392</v>
      </c>
      <c r="D38" s="3">
        <v>2.8</v>
      </c>
      <c r="E38" s="3">
        <v>0.11799999999999999</v>
      </c>
      <c r="F38" s="3">
        <v>0.245</v>
      </c>
      <c r="G38" s="3">
        <v>-0.127</v>
      </c>
    </row>
    <row r="39" spans="1:7" ht="15" thickBot="1" x14ac:dyDescent="0.4">
      <c r="A39" s="2" t="s">
        <v>145</v>
      </c>
      <c r="B39" s="3">
        <v>51</v>
      </c>
      <c r="C39" s="3">
        <v>2219</v>
      </c>
      <c r="D39" s="3">
        <v>2.2999999999999998</v>
      </c>
      <c r="E39" s="3">
        <v>0.16</v>
      </c>
      <c r="F39" s="3">
        <v>0.28599999999999998</v>
      </c>
      <c r="G39" s="3">
        <v>-0.126</v>
      </c>
    </row>
    <row r="40" spans="1:7" ht="15" thickBot="1" x14ac:dyDescent="0.4">
      <c r="A40" s="2" t="s">
        <v>146</v>
      </c>
      <c r="B40" s="3">
        <v>31</v>
      </c>
      <c r="C40" s="3">
        <v>1282</v>
      </c>
      <c r="D40" s="3">
        <v>2.4</v>
      </c>
      <c r="E40" s="3">
        <v>9.7000000000000003E-2</v>
      </c>
      <c r="F40" s="3">
        <v>0.221</v>
      </c>
      <c r="G40" s="3">
        <v>-0.124</v>
      </c>
    </row>
    <row r="41" spans="1:7" ht="15" thickBot="1" x14ac:dyDescent="0.4">
      <c r="A41" s="2" t="s">
        <v>147</v>
      </c>
      <c r="B41" s="3">
        <v>32</v>
      </c>
      <c r="C41" s="3">
        <v>2559</v>
      </c>
      <c r="D41" s="3">
        <v>1.3</v>
      </c>
      <c r="E41" s="3">
        <v>0.125</v>
      </c>
      <c r="F41" s="3">
        <v>0.248</v>
      </c>
      <c r="G41" s="3">
        <v>-0.123</v>
      </c>
    </row>
    <row r="42" spans="1:7" ht="15" thickBot="1" x14ac:dyDescent="0.4">
      <c r="A42" s="2" t="s">
        <v>148</v>
      </c>
      <c r="B42" s="3">
        <v>32</v>
      </c>
      <c r="C42" s="3">
        <v>1830</v>
      </c>
      <c r="D42" s="3">
        <v>1.7</v>
      </c>
      <c r="E42" s="3">
        <v>0.125</v>
      </c>
      <c r="F42" s="3">
        <v>0.247</v>
      </c>
      <c r="G42" s="3">
        <v>-0.122</v>
      </c>
    </row>
    <row r="43" spans="1:7" ht="15" thickBot="1" x14ac:dyDescent="0.4">
      <c r="A43" s="2" t="s">
        <v>149</v>
      </c>
      <c r="B43" s="3">
        <v>36</v>
      </c>
      <c r="C43" s="3">
        <v>2232</v>
      </c>
      <c r="D43" s="3">
        <v>1.6</v>
      </c>
      <c r="E43" s="3">
        <v>0.16700000000000001</v>
      </c>
      <c r="F43" s="3">
        <v>0.28799999999999998</v>
      </c>
      <c r="G43" s="3">
        <v>-0.121</v>
      </c>
    </row>
    <row r="44" spans="1:7" ht="15" thickBot="1" x14ac:dyDescent="0.4">
      <c r="A44" s="2" t="s">
        <v>150</v>
      </c>
      <c r="B44" s="3">
        <v>51</v>
      </c>
      <c r="C44" s="3">
        <v>1505</v>
      </c>
      <c r="D44" s="3">
        <v>3.4</v>
      </c>
      <c r="E44" s="3">
        <v>9.8000000000000004E-2</v>
      </c>
      <c r="F44" s="3">
        <v>0.217</v>
      </c>
      <c r="G44" s="3">
        <v>-0.11899999999999999</v>
      </c>
    </row>
    <row r="45" spans="1:7" ht="15" thickBot="1" x14ac:dyDescent="0.4">
      <c r="A45" s="2" t="s">
        <v>151</v>
      </c>
      <c r="B45" s="3">
        <v>35</v>
      </c>
      <c r="C45" s="3">
        <v>1550</v>
      </c>
      <c r="D45" s="3">
        <v>2.2999999999999998</v>
      </c>
      <c r="E45" s="3">
        <v>0.14299999999999999</v>
      </c>
      <c r="F45" s="3">
        <v>0.26</v>
      </c>
      <c r="G45" s="3">
        <v>-0.11700000000000001</v>
      </c>
    </row>
    <row r="46" spans="1:7" ht="15" thickBot="1" x14ac:dyDescent="0.4">
      <c r="A46" s="2" t="s">
        <v>152</v>
      </c>
      <c r="B46" s="3">
        <v>47</v>
      </c>
      <c r="C46" s="3">
        <v>2229</v>
      </c>
      <c r="D46" s="3">
        <v>2.1</v>
      </c>
      <c r="E46" s="3">
        <v>0.14899999999999999</v>
      </c>
      <c r="F46" s="3">
        <v>0.26500000000000001</v>
      </c>
      <c r="G46" s="3">
        <v>-0.11600000000000001</v>
      </c>
    </row>
    <row r="47" spans="1:7" ht="15" thickBot="1" x14ac:dyDescent="0.4">
      <c r="A47" s="2" t="s">
        <v>153</v>
      </c>
      <c r="B47" s="3">
        <v>54</v>
      </c>
      <c r="C47" s="3">
        <v>2196</v>
      </c>
      <c r="D47" s="3">
        <v>2.5</v>
      </c>
      <c r="E47" s="3">
        <v>0.13</v>
      </c>
      <c r="F47" s="3">
        <v>0.245</v>
      </c>
      <c r="G47" s="3">
        <v>-0.115</v>
      </c>
    </row>
    <row r="48" spans="1:7" ht="15" thickBot="1" x14ac:dyDescent="0.4">
      <c r="A48" s="2" t="s">
        <v>154</v>
      </c>
      <c r="B48" s="3">
        <v>30</v>
      </c>
      <c r="C48" s="3">
        <v>1900</v>
      </c>
      <c r="D48" s="3">
        <v>1.6</v>
      </c>
      <c r="E48" s="3">
        <v>0.13300000000000001</v>
      </c>
      <c r="F48" s="3">
        <v>0.247</v>
      </c>
      <c r="G48" s="3">
        <v>-0.114</v>
      </c>
    </row>
    <row r="49" spans="1:7" ht="15" thickBot="1" x14ac:dyDescent="0.4">
      <c r="A49" s="2" t="s">
        <v>155</v>
      </c>
      <c r="B49" s="3">
        <v>53</v>
      </c>
      <c r="C49" s="3">
        <v>2349</v>
      </c>
      <c r="D49" s="3">
        <v>2.2999999999999998</v>
      </c>
      <c r="E49" s="3">
        <v>0.13200000000000001</v>
      </c>
      <c r="F49" s="3">
        <v>0.24399999999999999</v>
      </c>
      <c r="G49" s="3">
        <v>-0.112</v>
      </c>
    </row>
    <row r="50" spans="1:7" ht="15" thickBot="1" x14ac:dyDescent="0.4">
      <c r="A50" s="2" t="s">
        <v>156</v>
      </c>
      <c r="B50" s="3">
        <v>75</v>
      </c>
      <c r="C50" s="3">
        <v>2301</v>
      </c>
      <c r="D50" s="3">
        <v>3.3</v>
      </c>
      <c r="E50" s="3">
        <v>0.17299999999999999</v>
      </c>
      <c r="F50" s="3">
        <v>0.28000000000000003</v>
      </c>
      <c r="G50" s="3">
        <v>-0.107</v>
      </c>
    </row>
    <row r="51" spans="1:7" ht="15" thickBot="1" x14ac:dyDescent="0.4">
      <c r="A51" s="2"/>
      <c r="B51" s="3"/>
      <c r="C51" s="3"/>
      <c r="D51" s="3"/>
      <c r="E51" s="3"/>
      <c r="F51" s="3"/>
      <c r="G51" s="3"/>
    </row>
    <row r="52" spans="1:7" ht="15" thickBot="1" x14ac:dyDescent="0.4">
      <c r="A52" s="2"/>
      <c r="B52" s="3"/>
      <c r="C52" s="3"/>
      <c r="D52" s="3"/>
      <c r="E52" s="3"/>
      <c r="F52" s="3"/>
      <c r="G52" s="3"/>
    </row>
    <row r="53" spans="1:7" ht="15" thickBot="1" x14ac:dyDescent="0.4">
      <c r="A53" s="2"/>
      <c r="B53" s="3"/>
      <c r="C53" s="3"/>
      <c r="D53" s="3"/>
      <c r="E53" s="3"/>
      <c r="F53" s="3"/>
      <c r="G53" s="3"/>
    </row>
    <row r="54" spans="1:7" ht="15" thickBot="1" x14ac:dyDescent="0.4">
      <c r="A54" s="2"/>
      <c r="B54" s="3"/>
      <c r="C54" s="3"/>
      <c r="D54" s="3"/>
      <c r="E54" s="3"/>
      <c r="F54" s="3"/>
      <c r="G54" s="3"/>
    </row>
    <row r="55" spans="1:7" ht="15" thickBot="1" x14ac:dyDescent="0.4">
      <c r="A55" s="2"/>
      <c r="B55" s="3"/>
      <c r="C55" s="3"/>
      <c r="D55" s="3"/>
      <c r="E55" s="3"/>
      <c r="F55" s="3"/>
      <c r="G55" s="3"/>
    </row>
    <row r="56" spans="1:7" ht="15" thickBot="1" x14ac:dyDescent="0.4">
      <c r="A56" s="2"/>
      <c r="B56" s="3"/>
      <c r="C56" s="3"/>
      <c r="D56" s="3"/>
      <c r="E56" s="3"/>
      <c r="F56" s="3"/>
      <c r="G56" s="3"/>
    </row>
    <row r="57" spans="1:7" ht="15" thickBot="1" x14ac:dyDescent="0.4">
      <c r="A57" s="2"/>
      <c r="B57" s="3"/>
      <c r="C57" s="3"/>
      <c r="D57" s="3"/>
      <c r="E57" s="3"/>
      <c r="F57" s="3"/>
      <c r="G57" s="3"/>
    </row>
    <row r="58" spans="1:7" ht="15" thickBot="1" x14ac:dyDescent="0.4">
      <c r="A58" s="2"/>
      <c r="B58" s="3"/>
      <c r="C58" s="3"/>
      <c r="D58" s="3"/>
      <c r="E58" s="3"/>
      <c r="F58" s="3"/>
      <c r="G58" s="3"/>
    </row>
    <row r="59" spans="1:7" ht="15" thickBot="1" x14ac:dyDescent="0.4">
      <c r="A59" s="2"/>
      <c r="B59" s="3"/>
      <c r="C59" s="3"/>
      <c r="D59" s="3"/>
      <c r="E59" s="3"/>
      <c r="F59" s="3"/>
      <c r="G59" s="3"/>
    </row>
    <row r="60" spans="1:7" ht="15" thickBot="1" x14ac:dyDescent="0.4">
      <c r="A60" s="2"/>
      <c r="B60" s="3"/>
      <c r="C60" s="3"/>
      <c r="D60" s="3"/>
      <c r="E60" s="3"/>
      <c r="F60" s="3"/>
      <c r="G60" s="3"/>
    </row>
    <row r="61" spans="1:7" ht="15" thickBot="1" x14ac:dyDescent="0.4">
      <c r="A61" s="2"/>
      <c r="B61" s="3"/>
      <c r="C61" s="3"/>
      <c r="D61" s="3"/>
      <c r="E61" s="3"/>
      <c r="F61" s="3"/>
      <c r="G61" s="3"/>
    </row>
    <row r="62" spans="1:7" ht="15" thickBot="1" x14ac:dyDescent="0.4">
      <c r="A62" s="2"/>
      <c r="B62" s="3"/>
      <c r="C62" s="3"/>
      <c r="D62" s="3"/>
      <c r="E62" s="3"/>
      <c r="F62" s="3"/>
      <c r="G62" s="3"/>
    </row>
    <row r="63" spans="1:7" ht="15" thickBot="1" x14ac:dyDescent="0.4">
      <c r="A63" s="2"/>
      <c r="B63" s="3"/>
      <c r="C63" s="3"/>
      <c r="D63" s="3"/>
      <c r="E63" s="3"/>
      <c r="F63" s="3"/>
      <c r="G63" s="3"/>
    </row>
    <row r="64" spans="1:7" ht="15" thickBot="1" x14ac:dyDescent="0.4">
      <c r="A64" s="2"/>
      <c r="B64" s="3"/>
      <c r="C64" s="3"/>
      <c r="D64" s="3"/>
      <c r="E64" s="3"/>
      <c r="F64" s="3"/>
      <c r="G64" s="3"/>
    </row>
    <row r="65" spans="1:7" ht="15" thickBot="1" x14ac:dyDescent="0.4">
      <c r="A65" s="2"/>
      <c r="B65" s="3"/>
      <c r="C65" s="3"/>
      <c r="D65" s="3"/>
      <c r="E65" s="3"/>
      <c r="F65" s="3"/>
      <c r="G65" s="3"/>
    </row>
    <row r="66" spans="1:7" ht="15" thickBot="1" x14ac:dyDescent="0.4">
      <c r="A66" s="2"/>
      <c r="B66" s="3"/>
      <c r="C66" s="3"/>
      <c r="D66" s="3"/>
      <c r="E66" s="3"/>
      <c r="F66" s="3"/>
      <c r="G6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16B0-B5DB-4732-AAE4-C4549BA5BAD5}">
  <dimension ref="A1:F116"/>
  <sheetViews>
    <sheetView workbookViewId="0">
      <selection activeCell="B1" sqref="B1:B1048576"/>
    </sheetView>
  </sheetViews>
  <sheetFormatPr defaultRowHeight="14.5" x14ac:dyDescent="0.35"/>
  <cols>
    <col min="6" max="6" width="8.7265625" style="266"/>
  </cols>
  <sheetData>
    <row r="1" spans="1:6" x14ac:dyDescent="0.35">
      <c r="A1" s="262"/>
      <c r="B1" s="262" t="s">
        <v>102</v>
      </c>
      <c r="C1" s="262" t="s">
        <v>103</v>
      </c>
      <c r="D1" s="262" t="s">
        <v>104</v>
      </c>
      <c r="E1" s="263" t="s">
        <v>105</v>
      </c>
      <c r="F1" s="264" t="s">
        <v>188</v>
      </c>
    </row>
    <row r="2" spans="1:6" ht="15" thickBot="1" x14ac:dyDescent="0.4">
      <c r="A2" s="8">
        <v>1</v>
      </c>
      <c r="B2" s="8" t="s">
        <v>189</v>
      </c>
      <c r="C2" s="9">
        <v>53</v>
      </c>
      <c r="D2" s="9">
        <v>2065</v>
      </c>
      <c r="E2" s="9">
        <v>2.6</v>
      </c>
      <c r="F2" s="265">
        <v>0.126</v>
      </c>
    </row>
    <row r="3" spans="1:6" ht="15" thickBot="1" x14ac:dyDescent="0.4">
      <c r="A3" s="8">
        <v>2</v>
      </c>
      <c r="B3" s="8" t="s">
        <v>190</v>
      </c>
      <c r="C3" s="9">
        <v>63</v>
      </c>
      <c r="D3" s="9">
        <v>2537</v>
      </c>
      <c r="E3" s="9">
        <v>2.5</v>
      </c>
      <c r="F3" s="265">
        <v>0.112</v>
      </c>
    </row>
    <row r="4" spans="1:6" ht="15" thickBot="1" x14ac:dyDescent="0.4">
      <c r="A4" s="8">
        <v>3</v>
      </c>
      <c r="B4" s="8" t="s">
        <v>161</v>
      </c>
      <c r="C4" s="9">
        <v>70</v>
      </c>
      <c r="D4" s="9">
        <v>1699</v>
      </c>
      <c r="E4" s="9">
        <v>4.0999999999999996</v>
      </c>
      <c r="F4" s="265">
        <v>0.108</v>
      </c>
    </row>
    <row r="5" spans="1:6" ht="15" thickBot="1" x14ac:dyDescent="0.4">
      <c r="A5" s="8">
        <v>4</v>
      </c>
      <c r="B5" s="8" t="s">
        <v>191</v>
      </c>
      <c r="C5" s="9">
        <v>66</v>
      </c>
      <c r="D5" s="9">
        <v>1926</v>
      </c>
      <c r="E5" s="9">
        <v>3.4</v>
      </c>
      <c r="F5" s="265">
        <v>9.5000000000000001E-2</v>
      </c>
    </row>
    <row r="6" spans="1:6" ht="15" thickBot="1" x14ac:dyDescent="0.4">
      <c r="A6" s="8">
        <v>5</v>
      </c>
      <c r="B6" s="8" t="s">
        <v>192</v>
      </c>
      <c r="C6" s="9">
        <v>52</v>
      </c>
      <c r="D6" s="9">
        <v>1459</v>
      </c>
      <c r="E6" s="9">
        <v>3.6</v>
      </c>
      <c r="F6" s="265">
        <v>8.4000000000000005E-2</v>
      </c>
    </row>
    <row r="7" spans="1:6" ht="15" thickBot="1" x14ac:dyDescent="0.4">
      <c r="A7" s="8">
        <v>6</v>
      </c>
      <c r="B7" s="8" t="s">
        <v>193</v>
      </c>
      <c r="C7" s="9">
        <v>52</v>
      </c>
      <c r="D7" s="9">
        <v>914</v>
      </c>
      <c r="E7" s="9">
        <v>5.7</v>
      </c>
      <c r="F7" s="265">
        <v>0.08</v>
      </c>
    </row>
    <row r="8" spans="1:6" ht="15" thickBot="1" x14ac:dyDescent="0.4">
      <c r="A8" s="8">
        <v>7</v>
      </c>
      <c r="B8" s="8" t="s">
        <v>172</v>
      </c>
      <c r="C8" s="9">
        <v>71</v>
      </c>
      <c r="D8" s="9">
        <v>2321</v>
      </c>
      <c r="E8" s="9">
        <v>3.1</v>
      </c>
      <c r="F8" s="265">
        <v>7.8E-2</v>
      </c>
    </row>
    <row r="9" spans="1:6" ht="15" thickBot="1" x14ac:dyDescent="0.4">
      <c r="A9" s="8">
        <v>8</v>
      </c>
      <c r="B9" s="8" t="s">
        <v>194</v>
      </c>
      <c r="C9" s="9">
        <v>68</v>
      </c>
      <c r="D9" s="9">
        <v>2027</v>
      </c>
      <c r="E9" s="9">
        <v>3.4</v>
      </c>
      <c r="F9" s="265">
        <v>7.1999999999999995E-2</v>
      </c>
    </row>
    <row r="10" spans="1:6" ht="15" thickBot="1" x14ac:dyDescent="0.4">
      <c r="A10" s="8">
        <v>9</v>
      </c>
      <c r="B10" s="8" t="s">
        <v>165</v>
      </c>
      <c r="C10" s="9">
        <v>77</v>
      </c>
      <c r="D10" s="9">
        <v>2747</v>
      </c>
      <c r="E10" s="9">
        <v>2.8</v>
      </c>
      <c r="F10" s="265">
        <v>5.8999999999999997E-2</v>
      </c>
    </row>
    <row r="11" spans="1:6" ht="15" thickBot="1" x14ac:dyDescent="0.4">
      <c r="A11" s="8">
        <v>10</v>
      </c>
      <c r="B11" s="8" t="s">
        <v>195</v>
      </c>
      <c r="C11" s="9">
        <v>59</v>
      </c>
      <c r="D11" s="9">
        <v>1844</v>
      </c>
      <c r="E11" s="9">
        <v>3.2</v>
      </c>
      <c r="F11" s="265">
        <v>5.5E-2</v>
      </c>
    </row>
    <row r="12" spans="1:6" ht="15" thickBot="1" x14ac:dyDescent="0.4">
      <c r="A12" s="8">
        <v>11</v>
      </c>
      <c r="B12" s="8" t="s">
        <v>196</v>
      </c>
      <c r="C12" s="9">
        <v>65</v>
      </c>
      <c r="D12" s="9">
        <v>1573</v>
      </c>
      <c r="E12" s="9">
        <v>4.0999999999999996</v>
      </c>
      <c r="F12" s="265">
        <v>5.1999999999999998E-2</v>
      </c>
    </row>
    <row r="13" spans="1:6" ht="15" thickBot="1" x14ac:dyDescent="0.4">
      <c r="A13" s="8">
        <v>12</v>
      </c>
      <c r="B13" s="8" t="s">
        <v>197</v>
      </c>
      <c r="C13" s="9">
        <v>64</v>
      </c>
      <c r="D13" s="9">
        <v>1174</v>
      </c>
      <c r="E13" s="9">
        <v>5.5</v>
      </c>
      <c r="F13" s="265">
        <v>4.5999999999999999E-2</v>
      </c>
    </row>
    <row r="14" spans="1:6" ht="15" thickBot="1" x14ac:dyDescent="0.4">
      <c r="A14" s="8">
        <v>13</v>
      </c>
      <c r="B14" s="8" t="s">
        <v>149</v>
      </c>
      <c r="C14" s="9">
        <v>98</v>
      </c>
      <c r="D14" s="9">
        <v>2232</v>
      </c>
      <c r="E14" s="9">
        <v>4.4000000000000004</v>
      </c>
      <c r="F14" s="265">
        <v>4.4999999999999998E-2</v>
      </c>
    </row>
    <row r="15" spans="1:6" ht="15" thickBot="1" x14ac:dyDescent="0.4">
      <c r="A15" s="8">
        <v>14</v>
      </c>
      <c r="B15" s="8" t="s">
        <v>198</v>
      </c>
      <c r="C15" s="9">
        <v>50</v>
      </c>
      <c r="D15" s="9">
        <v>985</v>
      </c>
      <c r="E15" s="9">
        <v>5.0999999999999996</v>
      </c>
      <c r="F15" s="265">
        <v>4.2999999999999997E-2</v>
      </c>
    </row>
    <row r="16" spans="1:6" ht="15" thickBot="1" x14ac:dyDescent="0.4">
      <c r="A16" s="8">
        <v>15</v>
      </c>
      <c r="B16" s="8" t="s">
        <v>199</v>
      </c>
      <c r="C16" s="9">
        <v>50</v>
      </c>
      <c r="D16" s="9">
        <v>614</v>
      </c>
      <c r="E16" s="9">
        <v>8.1</v>
      </c>
      <c r="F16" s="265">
        <v>4.2000000000000003E-2</v>
      </c>
    </row>
    <row r="17" spans="1:6" ht="15" thickBot="1" x14ac:dyDescent="0.4">
      <c r="A17" s="8">
        <v>16</v>
      </c>
      <c r="B17" s="8" t="s">
        <v>148</v>
      </c>
      <c r="C17" s="9">
        <v>58</v>
      </c>
      <c r="D17" s="9">
        <v>1830</v>
      </c>
      <c r="E17" s="9">
        <v>3.2</v>
      </c>
      <c r="F17" s="265">
        <v>3.5999999999999997E-2</v>
      </c>
    </row>
    <row r="18" spans="1:6" ht="15" thickBot="1" x14ac:dyDescent="0.4">
      <c r="A18" s="8">
        <v>17</v>
      </c>
      <c r="B18" s="8" t="s">
        <v>200</v>
      </c>
      <c r="C18" s="9">
        <v>63</v>
      </c>
      <c r="D18" s="9">
        <v>2242</v>
      </c>
      <c r="E18" s="9">
        <v>2.8</v>
      </c>
      <c r="F18" s="265">
        <v>3.2000000000000001E-2</v>
      </c>
    </row>
    <row r="19" spans="1:6" ht="15" thickBot="1" x14ac:dyDescent="0.4">
      <c r="A19" s="8">
        <v>18</v>
      </c>
      <c r="B19" s="8" t="s">
        <v>167</v>
      </c>
      <c r="C19" s="9">
        <v>87</v>
      </c>
      <c r="D19" s="9">
        <v>1818</v>
      </c>
      <c r="E19" s="9">
        <v>4.8</v>
      </c>
      <c r="F19" s="265">
        <v>2.7E-2</v>
      </c>
    </row>
    <row r="20" spans="1:6" ht="15" thickBot="1" x14ac:dyDescent="0.4">
      <c r="A20" s="8">
        <v>19</v>
      </c>
      <c r="B20" s="8" t="s">
        <v>157</v>
      </c>
      <c r="C20" s="9">
        <v>102</v>
      </c>
      <c r="D20" s="9">
        <v>2755</v>
      </c>
      <c r="E20" s="9">
        <v>3.7</v>
      </c>
      <c r="F20" s="265">
        <v>2.7E-2</v>
      </c>
    </row>
    <row r="21" spans="1:6" ht="15" thickBot="1" x14ac:dyDescent="0.4">
      <c r="A21" s="8">
        <v>20</v>
      </c>
      <c r="B21" s="8" t="s">
        <v>201</v>
      </c>
      <c r="C21" s="9">
        <v>62</v>
      </c>
      <c r="D21" s="9">
        <v>1490</v>
      </c>
      <c r="E21" s="9">
        <v>4.2</v>
      </c>
      <c r="F21" s="265">
        <v>2.5000000000000001E-2</v>
      </c>
    </row>
    <row r="22" spans="1:6" ht="15" thickBot="1" x14ac:dyDescent="0.4">
      <c r="A22" s="8">
        <v>21</v>
      </c>
      <c r="B22" s="8" t="s">
        <v>170</v>
      </c>
      <c r="C22" s="9">
        <v>81</v>
      </c>
      <c r="D22" s="9">
        <v>1039</v>
      </c>
      <c r="E22" s="9">
        <v>7.8</v>
      </c>
      <c r="F22" s="265">
        <v>2.3E-2</v>
      </c>
    </row>
    <row r="23" spans="1:6" ht="15" thickBot="1" x14ac:dyDescent="0.4">
      <c r="A23" s="8">
        <v>22</v>
      </c>
      <c r="B23" s="8" t="s">
        <v>202</v>
      </c>
      <c r="C23" s="9">
        <v>106</v>
      </c>
      <c r="D23" s="9">
        <v>2617</v>
      </c>
      <c r="E23" s="9">
        <v>4.0999999999999996</v>
      </c>
      <c r="F23" s="265">
        <v>2.1999999999999999E-2</v>
      </c>
    </row>
    <row r="24" spans="1:6" ht="15" thickBot="1" x14ac:dyDescent="0.4">
      <c r="A24" s="8">
        <v>23</v>
      </c>
      <c r="B24" s="8" t="s">
        <v>123</v>
      </c>
      <c r="C24" s="9">
        <v>87</v>
      </c>
      <c r="D24" s="9">
        <v>2460</v>
      </c>
      <c r="E24" s="9">
        <v>3.5</v>
      </c>
      <c r="F24" s="265">
        <v>2.1000000000000001E-2</v>
      </c>
    </row>
    <row r="25" spans="1:6" ht="15" thickBot="1" x14ac:dyDescent="0.4">
      <c r="A25" s="8">
        <v>24</v>
      </c>
      <c r="B25" s="8" t="s">
        <v>151</v>
      </c>
      <c r="C25" s="9">
        <v>68</v>
      </c>
      <c r="D25" s="9">
        <v>1550</v>
      </c>
      <c r="E25" s="9">
        <v>4.4000000000000004</v>
      </c>
      <c r="F25" s="265">
        <v>0.02</v>
      </c>
    </row>
    <row r="26" spans="1:6" ht="15" thickBot="1" x14ac:dyDescent="0.4">
      <c r="A26" s="8">
        <v>25</v>
      </c>
      <c r="B26" s="8" t="s">
        <v>203</v>
      </c>
      <c r="C26" s="9">
        <v>59</v>
      </c>
      <c r="D26" s="9">
        <v>2372</v>
      </c>
      <c r="E26" s="9">
        <v>2.5</v>
      </c>
      <c r="F26" s="265">
        <v>0.02</v>
      </c>
    </row>
    <row r="27" spans="1:6" ht="15" thickBot="1" x14ac:dyDescent="0.4">
      <c r="A27" s="8">
        <v>26</v>
      </c>
      <c r="B27" s="8" t="s">
        <v>204</v>
      </c>
      <c r="C27" s="9">
        <v>99</v>
      </c>
      <c r="D27" s="9">
        <v>2162</v>
      </c>
      <c r="E27" s="9">
        <v>4.5999999999999996</v>
      </c>
      <c r="F27" s="265">
        <v>0.02</v>
      </c>
    </row>
    <row r="28" spans="1:6" ht="15" thickBot="1" x14ac:dyDescent="0.4">
      <c r="A28" s="8">
        <v>27</v>
      </c>
      <c r="B28" s="8" t="s">
        <v>205</v>
      </c>
      <c r="C28" s="9">
        <v>94</v>
      </c>
      <c r="D28" s="9">
        <v>2308</v>
      </c>
      <c r="E28" s="9">
        <v>4.0999999999999996</v>
      </c>
      <c r="F28" s="265">
        <v>1.7999999999999999E-2</v>
      </c>
    </row>
    <row r="29" spans="1:6" ht="15" thickBot="1" x14ac:dyDescent="0.4">
      <c r="A29" s="8">
        <v>28</v>
      </c>
      <c r="B29" s="8" t="s">
        <v>142</v>
      </c>
      <c r="C29" s="9">
        <v>79</v>
      </c>
      <c r="D29" s="9">
        <v>2044</v>
      </c>
      <c r="E29" s="9">
        <v>3.9</v>
      </c>
      <c r="F29" s="265">
        <v>1.2999999999999999E-2</v>
      </c>
    </row>
    <row r="30" spans="1:6" ht="15" thickBot="1" x14ac:dyDescent="0.4">
      <c r="A30" s="8">
        <v>29</v>
      </c>
      <c r="B30" s="8" t="s">
        <v>206</v>
      </c>
      <c r="C30" s="9">
        <v>134</v>
      </c>
      <c r="D30" s="9">
        <v>2776</v>
      </c>
      <c r="E30" s="9">
        <v>4.8</v>
      </c>
      <c r="F30" s="265">
        <v>1.2E-2</v>
      </c>
    </row>
    <row r="31" spans="1:6" ht="15" thickBot="1" x14ac:dyDescent="0.4">
      <c r="A31" s="8">
        <v>30</v>
      </c>
      <c r="B31" s="8" t="s">
        <v>207</v>
      </c>
      <c r="C31" s="9">
        <v>94</v>
      </c>
      <c r="D31" s="9">
        <v>1837</v>
      </c>
      <c r="E31" s="9">
        <v>5.0999999999999996</v>
      </c>
      <c r="F31" s="265">
        <v>7.0000000000000001E-3</v>
      </c>
    </row>
    <row r="32" spans="1:6" ht="15" thickBot="1" x14ac:dyDescent="0.4">
      <c r="A32" s="8">
        <v>31</v>
      </c>
      <c r="B32" s="8" t="s">
        <v>127</v>
      </c>
      <c r="C32" s="9">
        <v>98</v>
      </c>
      <c r="D32" s="9">
        <v>2829</v>
      </c>
      <c r="E32" s="9">
        <v>3.5</v>
      </c>
      <c r="F32" s="265">
        <v>6.0000000000000001E-3</v>
      </c>
    </row>
    <row r="33" spans="1:6" ht="15" thickBot="1" x14ac:dyDescent="0.4">
      <c r="A33" s="8">
        <v>32</v>
      </c>
      <c r="B33" s="8" t="s">
        <v>171</v>
      </c>
      <c r="C33" s="9">
        <v>123</v>
      </c>
      <c r="D33" s="9">
        <v>2742</v>
      </c>
      <c r="E33" s="9">
        <v>4.5</v>
      </c>
      <c r="F33" s="265">
        <v>4.0000000000000001E-3</v>
      </c>
    </row>
    <row r="34" spans="1:6" ht="15" thickBot="1" x14ac:dyDescent="0.4">
      <c r="A34" s="8">
        <v>33</v>
      </c>
      <c r="B34" s="8" t="s">
        <v>128</v>
      </c>
      <c r="C34" s="9">
        <v>83</v>
      </c>
      <c r="D34" s="9">
        <v>2017</v>
      </c>
      <c r="E34" s="9">
        <v>4.0999999999999996</v>
      </c>
      <c r="F34" s="265">
        <v>3.0000000000000001E-3</v>
      </c>
    </row>
    <row r="35" spans="1:6" ht="15" thickBot="1" x14ac:dyDescent="0.4">
      <c r="A35" s="8">
        <v>34</v>
      </c>
      <c r="B35" s="8" t="s">
        <v>208</v>
      </c>
      <c r="C35" s="9">
        <v>62</v>
      </c>
      <c r="D35" s="9">
        <v>2176</v>
      </c>
      <c r="E35" s="9">
        <v>2.8</v>
      </c>
      <c r="F35" s="265">
        <v>-1E-3</v>
      </c>
    </row>
    <row r="36" spans="1:6" ht="15" thickBot="1" x14ac:dyDescent="0.4">
      <c r="A36" s="8">
        <v>35</v>
      </c>
      <c r="B36" s="8" t="s">
        <v>152</v>
      </c>
      <c r="C36" s="9">
        <v>98</v>
      </c>
      <c r="D36" s="9">
        <v>2229</v>
      </c>
      <c r="E36" s="9">
        <v>4.4000000000000004</v>
      </c>
      <c r="F36" s="265">
        <v>-4.0000000000000001E-3</v>
      </c>
    </row>
    <row r="37" spans="1:6" ht="15" thickBot="1" x14ac:dyDescent="0.4">
      <c r="A37" s="8">
        <v>36</v>
      </c>
      <c r="B37" s="8" t="s">
        <v>209</v>
      </c>
      <c r="C37" s="9">
        <v>55</v>
      </c>
      <c r="D37" s="9">
        <v>2751</v>
      </c>
      <c r="E37" s="9">
        <v>2</v>
      </c>
      <c r="F37" s="265">
        <v>-8.0000000000000002E-3</v>
      </c>
    </row>
    <row r="38" spans="1:6" ht="15" thickBot="1" x14ac:dyDescent="0.4">
      <c r="A38" s="8">
        <v>37</v>
      </c>
      <c r="B38" s="8" t="s">
        <v>210</v>
      </c>
      <c r="C38" s="9">
        <v>72</v>
      </c>
      <c r="D38" s="9">
        <v>1739</v>
      </c>
      <c r="E38" s="9">
        <v>4.0999999999999996</v>
      </c>
      <c r="F38" s="265">
        <v>-0.01</v>
      </c>
    </row>
    <row r="39" spans="1:6" ht="15" thickBot="1" x14ac:dyDescent="0.4">
      <c r="A39" s="8">
        <v>38</v>
      </c>
      <c r="B39" s="8" t="s">
        <v>125</v>
      </c>
      <c r="C39" s="9">
        <v>94</v>
      </c>
      <c r="D39" s="9">
        <v>1746</v>
      </c>
      <c r="E39" s="9">
        <v>5.4</v>
      </c>
      <c r="F39" s="265">
        <v>-1.2E-2</v>
      </c>
    </row>
    <row r="40" spans="1:6" ht="15" thickBot="1" x14ac:dyDescent="0.4">
      <c r="A40" s="8">
        <v>39</v>
      </c>
      <c r="B40" s="8" t="s">
        <v>135</v>
      </c>
      <c r="C40" s="9">
        <v>112</v>
      </c>
      <c r="D40" s="9">
        <v>2505</v>
      </c>
      <c r="E40" s="9">
        <v>4.5</v>
      </c>
      <c r="F40" s="265">
        <v>-1.4E-2</v>
      </c>
    </row>
    <row r="41" spans="1:6" ht="15" thickBot="1" x14ac:dyDescent="0.4">
      <c r="A41" s="8">
        <v>40</v>
      </c>
      <c r="B41" s="8" t="s">
        <v>211</v>
      </c>
      <c r="C41" s="9">
        <v>84</v>
      </c>
      <c r="D41" s="9">
        <v>2248</v>
      </c>
      <c r="E41" s="9">
        <v>3.7</v>
      </c>
      <c r="F41" s="265">
        <v>-1.4E-2</v>
      </c>
    </row>
    <row r="42" spans="1:6" ht="15" thickBot="1" x14ac:dyDescent="0.4">
      <c r="A42" s="8">
        <v>41</v>
      </c>
      <c r="B42" s="8" t="s">
        <v>212</v>
      </c>
      <c r="C42" s="9">
        <v>74</v>
      </c>
      <c r="D42" s="9">
        <v>2641</v>
      </c>
      <c r="E42" s="9">
        <v>2.8</v>
      </c>
      <c r="F42" s="265">
        <v>-1.6E-2</v>
      </c>
    </row>
    <row r="43" spans="1:6" ht="15" thickBot="1" x14ac:dyDescent="0.4">
      <c r="A43" s="8">
        <v>42</v>
      </c>
      <c r="B43" s="8" t="s">
        <v>166</v>
      </c>
      <c r="C43" s="9">
        <v>162</v>
      </c>
      <c r="D43" s="9">
        <v>2546</v>
      </c>
      <c r="E43" s="9">
        <v>6.4</v>
      </c>
      <c r="F43" s="265">
        <v>-1.6E-2</v>
      </c>
    </row>
    <row r="44" spans="1:6" ht="15" thickBot="1" x14ac:dyDescent="0.4">
      <c r="A44" s="8">
        <v>43</v>
      </c>
      <c r="B44" s="8" t="s">
        <v>119</v>
      </c>
      <c r="C44" s="9">
        <v>97</v>
      </c>
      <c r="D44" s="9">
        <v>1761</v>
      </c>
      <c r="E44" s="9">
        <v>5.5</v>
      </c>
      <c r="F44" s="265">
        <v>-1.6E-2</v>
      </c>
    </row>
    <row r="45" spans="1:6" ht="15" thickBot="1" x14ac:dyDescent="0.4">
      <c r="A45" s="8">
        <v>44</v>
      </c>
      <c r="B45" s="8" t="s">
        <v>141</v>
      </c>
      <c r="C45" s="9">
        <v>53</v>
      </c>
      <c r="D45" s="9">
        <v>2049</v>
      </c>
      <c r="E45" s="9">
        <v>2.6</v>
      </c>
      <c r="F45" s="265">
        <v>-1.7999999999999999E-2</v>
      </c>
    </row>
    <row r="46" spans="1:6" ht="15" thickBot="1" x14ac:dyDescent="0.4">
      <c r="A46" s="8">
        <v>45</v>
      </c>
      <c r="B46" s="8" t="s">
        <v>136</v>
      </c>
      <c r="C46" s="9">
        <v>83</v>
      </c>
      <c r="D46" s="9">
        <v>1387</v>
      </c>
      <c r="E46" s="9">
        <v>6</v>
      </c>
      <c r="F46" s="265">
        <v>-2.4E-2</v>
      </c>
    </row>
    <row r="47" spans="1:6" ht="15" thickBot="1" x14ac:dyDescent="0.4">
      <c r="A47" s="8">
        <v>46</v>
      </c>
      <c r="B47" s="8" t="s">
        <v>158</v>
      </c>
      <c r="C47" s="9">
        <v>121</v>
      </c>
      <c r="D47" s="9">
        <v>2765</v>
      </c>
      <c r="E47" s="9">
        <v>4.4000000000000004</v>
      </c>
      <c r="F47" s="265">
        <v>-2.7E-2</v>
      </c>
    </row>
    <row r="48" spans="1:6" ht="15" thickBot="1" x14ac:dyDescent="0.4">
      <c r="A48" s="8">
        <v>47</v>
      </c>
      <c r="B48" s="8" t="s">
        <v>168</v>
      </c>
      <c r="C48" s="9">
        <v>110</v>
      </c>
      <c r="D48" s="9">
        <v>2047</v>
      </c>
      <c r="E48" s="9">
        <v>5.4</v>
      </c>
      <c r="F48" s="265">
        <v>-0.03</v>
      </c>
    </row>
    <row r="49" spans="1:6" ht="15" thickBot="1" x14ac:dyDescent="0.4">
      <c r="A49" s="8">
        <v>48</v>
      </c>
      <c r="B49" s="8" t="s">
        <v>160</v>
      </c>
      <c r="C49" s="9">
        <v>83</v>
      </c>
      <c r="D49" s="9">
        <v>1483</v>
      </c>
      <c r="E49" s="9">
        <v>5.6</v>
      </c>
      <c r="F49" s="265">
        <v>-3.1E-2</v>
      </c>
    </row>
    <row r="50" spans="1:6" ht="15" thickBot="1" x14ac:dyDescent="0.4">
      <c r="A50" s="8">
        <v>49</v>
      </c>
      <c r="B50" s="8" t="s">
        <v>113</v>
      </c>
      <c r="C50" s="9">
        <v>78</v>
      </c>
      <c r="D50" s="9">
        <v>1685</v>
      </c>
      <c r="E50" s="9">
        <v>4.5999999999999996</v>
      </c>
      <c r="F50" s="265">
        <v>-3.4000000000000002E-2</v>
      </c>
    </row>
    <row r="51" spans="1:6" ht="15" thickBot="1" x14ac:dyDescent="0.4">
      <c r="A51" s="8">
        <v>50</v>
      </c>
      <c r="B51" s="8" t="s">
        <v>132</v>
      </c>
      <c r="C51" s="9">
        <v>94</v>
      </c>
      <c r="D51" s="9">
        <v>2009</v>
      </c>
      <c r="E51" s="9">
        <v>4.7</v>
      </c>
      <c r="F51" s="265">
        <v>-3.4000000000000002E-2</v>
      </c>
    </row>
    <row r="52" spans="1:6" ht="15" thickBot="1" x14ac:dyDescent="0.4">
      <c r="A52" s="8">
        <v>51</v>
      </c>
      <c r="B52" s="8" t="s">
        <v>130</v>
      </c>
      <c r="C52" s="9">
        <v>91</v>
      </c>
      <c r="D52" s="9">
        <v>1840</v>
      </c>
      <c r="E52" s="9">
        <v>4.9000000000000004</v>
      </c>
      <c r="F52" s="265">
        <v>-3.6999999999999998E-2</v>
      </c>
    </row>
    <row r="53" spans="1:6" ht="15" thickBot="1" x14ac:dyDescent="0.4">
      <c r="A53" s="8">
        <v>52</v>
      </c>
      <c r="B53" s="8" t="s">
        <v>213</v>
      </c>
      <c r="C53" s="9">
        <v>110</v>
      </c>
      <c r="D53" s="9">
        <v>2897</v>
      </c>
      <c r="E53" s="9">
        <v>3.8</v>
      </c>
      <c r="F53" s="265">
        <v>-3.6999999999999998E-2</v>
      </c>
    </row>
    <row r="54" spans="1:6" ht="15" thickBot="1" x14ac:dyDescent="0.4">
      <c r="A54" s="8">
        <v>53</v>
      </c>
      <c r="B54" s="8" t="s">
        <v>169</v>
      </c>
      <c r="C54" s="9">
        <v>68</v>
      </c>
      <c r="D54" s="9">
        <v>2328</v>
      </c>
      <c r="E54" s="9">
        <v>2.9</v>
      </c>
      <c r="F54" s="265">
        <v>-3.7999999999999999E-2</v>
      </c>
    </row>
    <row r="55" spans="1:6" ht="15" thickBot="1" x14ac:dyDescent="0.4">
      <c r="A55" s="8">
        <v>54</v>
      </c>
      <c r="B55" s="8" t="s">
        <v>139</v>
      </c>
      <c r="C55" s="9">
        <v>140</v>
      </c>
      <c r="D55" s="9">
        <v>1656</v>
      </c>
      <c r="E55" s="9">
        <v>8.5</v>
      </c>
      <c r="F55" s="265">
        <v>-3.9E-2</v>
      </c>
    </row>
    <row r="56" spans="1:6" ht="15" thickBot="1" x14ac:dyDescent="0.4">
      <c r="A56" s="8">
        <v>55</v>
      </c>
      <c r="B56" s="8" t="s">
        <v>214</v>
      </c>
      <c r="C56" s="9">
        <v>54</v>
      </c>
      <c r="D56" s="9">
        <v>2490</v>
      </c>
      <c r="E56" s="9">
        <v>2.2000000000000002</v>
      </c>
      <c r="F56" s="265">
        <v>-4.2999999999999997E-2</v>
      </c>
    </row>
    <row r="57" spans="1:6" ht="15" thickBot="1" x14ac:dyDescent="0.4">
      <c r="A57" s="8">
        <v>56</v>
      </c>
      <c r="B57" s="8" t="s">
        <v>145</v>
      </c>
      <c r="C57" s="9">
        <v>92</v>
      </c>
      <c r="D57" s="9">
        <v>2219</v>
      </c>
      <c r="E57" s="9">
        <v>4.0999999999999996</v>
      </c>
      <c r="F57" s="265">
        <v>-4.3999999999999997E-2</v>
      </c>
    </row>
    <row r="58" spans="1:6" ht="15" thickBot="1" x14ac:dyDescent="0.4">
      <c r="A58" s="8">
        <v>57</v>
      </c>
      <c r="B58" s="8" t="s">
        <v>215</v>
      </c>
      <c r="C58" s="9">
        <v>92</v>
      </c>
      <c r="D58" s="9">
        <v>1700</v>
      </c>
      <c r="E58" s="9">
        <v>5.4</v>
      </c>
      <c r="F58" s="265">
        <v>-4.4999999999999998E-2</v>
      </c>
    </row>
    <row r="59" spans="1:6" ht="15" thickBot="1" x14ac:dyDescent="0.4">
      <c r="A59" s="8">
        <v>58</v>
      </c>
      <c r="B59" s="8" t="s">
        <v>137</v>
      </c>
      <c r="C59" s="9">
        <v>143</v>
      </c>
      <c r="D59" s="9">
        <v>2893</v>
      </c>
      <c r="E59" s="9">
        <v>4.9000000000000004</v>
      </c>
      <c r="F59" s="265">
        <v>-4.4999999999999998E-2</v>
      </c>
    </row>
    <row r="60" spans="1:6" ht="15" thickBot="1" x14ac:dyDescent="0.4">
      <c r="A60" s="8">
        <v>59</v>
      </c>
      <c r="B60" s="8" t="s">
        <v>110</v>
      </c>
      <c r="C60" s="9">
        <v>90</v>
      </c>
      <c r="D60" s="9">
        <v>2790</v>
      </c>
      <c r="E60" s="9">
        <v>3.2</v>
      </c>
      <c r="F60" s="265">
        <v>-4.5999999999999999E-2</v>
      </c>
    </row>
    <row r="61" spans="1:6" ht="15" thickBot="1" x14ac:dyDescent="0.4">
      <c r="A61" s="8">
        <v>60</v>
      </c>
      <c r="B61" s="8" t="s">
        <v>216</v>
      </c>
      <c r="C61" s="9">
        <v>62</v>
      </c>
      <c r="D61" s="9">
        <v>2226</v>
      </c>
      <c r="E61" s="9">
        <v>2.8</v>
      </c>
      <c r="F61" s="265">
        <v>-4.8000000000000001E-2</v>
      </c>
    </row>
    <row r="62" spans="1:6" ht="15" thickBot="1" x14ac:dyDescent="0.4">
      <c r="A62" s="8">
        <v>61</v>
      </c>
      <c r="B62" s="8" t="s">
        <v>217</v>
      </c>
      <c r="C62" s="9">
        <v>65</v>
      </c>
      <c r="D62" s="9">
        <v>2507</v>
      </c>
      <c r="E62" s="9">
        <v>2.6</v>
      </c>
      <c r="F62" s="265">
        <v>-5.0999999999999997E-2</v>
      </c>
    </row>
    <row r="63" spans="1:6" ht="15" thickBot="1" x14ac:dyDescent="0.4">
      <c r="A63" s="8">
        <v>62</v>
      </c>
      <c r="B63" s="8" t="s">
        <v>218</v>
      </c>
      <c r="C63" s="9">
        <v>51</v>
      </c>
      <c r="D63" s="9">
        <v>1720</v>
      </c>
      <c r="E63" s="9">
        <v>3</v>
      </c>
      <c r="F63" s="265">
        <v>-5.0999999999999997E-2</v>
      </c>
    </row>
    <row r="64" spans="1:6" ht="15" thickBot="1" x14ac:dyDescent="0.4">
      <c r="A64" s="8">
        <v>63</v>
      </c>
      <c r="B64" s="8" t="s">
        <v>133</v>
      </c>
      <c r="C64" s="9">
        <v>136</v>
      </c>
      <c r="D64" s="9">
        <v>2085</v>
      </c>
      <c r="E64" s="9">
        <v>6.5</v>
      </c>
      <c r="F64" s="265">
        <v>-5.6000000000000001E-2</v>
      </c>
    </row>
    <row r="65" spans="1:6" ht="15" thickBot="1" x14ac:dyDescent="0.4">
      <c r="A65" s="8">
        <v>64</v>
      </c>
      <c r="B65" s="8" t="s">
        <v>219</v>
      </c>
      <c r="C65" s="9">
        <v>53</v>
      </c>
      <c r="D65" s="9">
        <v>2105</v>
      </c>
      <c r="E65" s="9">
        <v>2.5</v>
      </c>
      <c r="F65" s="265">
        <v>-5.7000000000000002E-2</v>
      </c>
    </row>
    <row r="66" spans="1:6" ht="15" thickBot="1" x14ac:dyDescent="0.4">
      <c r="A66" s="8">
        <v>65</v>
      </c>
      <c r="B66" s="8" t="s">
        <v>220</v>
      </c>
      <c r="C66" s="9">
        <v>79</v>
      </c>
      <c r="D66" s="9">
        <v>2066</v>
      </c>
      <c r="E66" s="9">
        <v>3.8</v>
      </c>
      <c r="F66" s="265">
        <v>-5.7000000000000002E-2</v>
      </c>
    </row>
    <row r="67" spans="1:6" ht="15" thickBot="1" x14ac:dyDescent="0.4">
      <c r="A67" s="8">
        <v>66</v>
      </c>
      <c r="B67" s="8" t="s">
        <v>221</v>
      </c>
      <c r="C67" s="9">
        <v>91</v>
      </c>
      <c r="D67" s="9">
        <v>2521</v>
      </c>
      <c r="E67" s="9">
        <v>3.6</v>
      </c>
      <c r="F67" s="265">
        <v>-5.8000000000000003E-2</v>
      </c>
    </row>
    <row r="68" spans="1:6" ht="15" thickBot="1" x14ac:dyDescent="0.4">
      <c r="A68" s="8">
        <v>67</v>
      </c>
      <c r="B68" s="8" t="s">
        <v>124</v>
      </c>
      <c r="C68" s="9">
        <v>97</v>
      </c>
      <c r="D68" s="9">
        <v>2112</v>
      </c>
      <c r="E68" s="9">
        <v>4.5999999999999996</v>
      </c>
      <c r="F68" s="265">
        <v>-0.06</v>
      </c>
    </row>
    <row r="69" spans="1:6" ht="15" thickBot="1" x14ac:dyDescent="0.4">
      <c r="A69" s="8">
        <v>68</v>
      </c>
      <c r="B69" s="8" t="s">
        <v>150</v>
      </c>
      <c r="C69" s="9">
        <v>88</v>
      </c>
      <c r="D69" s="9">
        <v>1505</v>
      </c>
      <c r="E69" s="9">
        <v>5.8</v>
      </c>
      <c r="F69" s="265">
        <v>-6.0999999999999999E-2</v>
      </c>
    </row>
    <row r="70" spans="1:6" ht="15" thickBot="1" x14ac:dyDescent="0.4">
      <c r="A70" s="8">
        <v>69</v>
      </c>
      <c r="B70" s="8" t="s">
        <v>222</v>
      </c>
      <c r="C70" s="9">
        <v>83</v>
      </c>
      <c r="D70" s="9">
        <v>2364</v>
      </c>
      <c r="E70" s="9">
        <v>3.5</v>
      </c>
      <c r="F70" s="265">
        <v>-6.2E-2</v>
      </c>
    </row>
    <row r="71" spans="1:6" ht="15" thickBot="1" x14ac:dyDescent="0.4">
      <c r="A71" s="8">
        <v>70</v>
      </c>
      <c r="B71" s="8" t="s">
        <v>223</v>
      </c>
      <c r="C71" s="9">
        <v>65</v>
      </c>
      <c r="D71" s="9">
        <v>2906</v>
      </c>
      <c r="E71" s="9">
        <v>2.2000000000000002</v>
      </c>
      <c r="F71" s="265">
        <v>-6.2E-2</v>
      </c>
    </row>
    <row r="72" spans="1:6" ht="15" thickBot="1" x14ac:dyDescent="0.4">
      <c r="A72" s="8">
        <v>71</v>
      </c>
      <c r="B72" s="8" t="s">
        <v>162</v>
      </c>
      <c r="C72" s="9">
        <v>81</v>
      </c>
      <c r="D72" s="9">
        <v>1964</v>
      </c>
      <c r="E72" s="9">
        <v>4.0999999999999996</v>
      </c>
      <c r="F72" s="265">
        <v>-6.4000000000000001E-2</v>
      </c>
    </row>
    <row r="73" spans="1:6" ht="15" thickBot="1" x14ac:dyDescent="0.4">
      <c r="A73" s="8">
        <v>72</v>
      </c>
      <c r="B73" s="8" t="s">
        <v>224</v>
      </c>
      <c r="C73" s="9">
        <v>53</v>
      </c>
      <c r="D73" s="9">
        <v>1027</v>
      </c>
      <c r="E73" s="9">
        <v>5.2</v>
      </c>
      <c r="F73" s="265">
        <v>-6.5000000000000002E-2</v>
      </c>
    </row>
    <row r="74" spans="1:6" ht="15" thickBot="1" x14ac:dyDescent="0.4">
      <c r="A74" s="8">
        <v>73</v>
      </c>
      <c r="B74" s="8" t="s">
        <v>225</v>
      </c>
      <c r="C74" s="9">
        <v>107</v>
      </c>
      <c r="D74" s="9">
        <v>2175</v>
      </c>
      <c r="E74" s="9">
        <v>4.9000000000000004</v>
      </c>
      <c r="F74" s="265">
        <v>-6.5000000000000002E-2</v>
      </c>
    </row>
    <row r="75" spans="1:6" ht="15" thickBot="1" x14ac:dyDescent="0.4">
      <c r="A75" s="8">
        <v>74</v>
      </c>
      <c r="B75" s="8" t="s">
        <v>140</v>
      </c>
      <c r="C75" s="9">
        <v>61</v>
      </c>
      <c r="D75" s="9">
        <v>1642</v>
      </c>
      <c r="E75" s="9">
        <v>3.7</v>
      </c>
      <c r="F75" s="265">
        <v>-6.5000000000000002E-2</v>
      </c>
    </row>
    <row r="76" spans="1:6" ht="15" thickBot="1" x14ac:dyDescent="0.4">
      <c r="A76" s="8">
        <v>75</v>
      </c>
      <c r="B76" s="8" t="s">
        <v>147</v>
      </c>
      <c r="C76" s="9">
        <v>77</v>
      </c>
      <c r="D76" s="9">
        <v>2559</v>
      </c>
      <c r="E76" s="9">
        <v>3</v>
      </c>
      <c r="F76" s="265">
        <v>-6.6000000000000003E-2</v>
      </c>
    </row>
    <row r="77" spans="1:6" ht="15" thickBot="1" x14ac:dyDescent="0.4">
      <c r="A77" s="8">
        <v>76</v>
      </c>
      <c r="B77" s="8" t="s">
        <v>159</v>
      </c>
      <c r="C77" s="9">
        <v>57</v>
      </c>
      <c r="D77" s="9">
        <v>1942</v>
      </c>
      <c r="E77" s="9">
        <v>2.9</v>
      </c>
      <c r="F77" s="265">
        <v>-6.7000000000000004E-2</v>
      </c>
    </row>
    <row r="78" spans="1:6" ht="15" thickBot="1" x14ac:dyDescent="0.4">
      <c r="A78" s="8">
        <v>77</v>
      </c>
      <c r="B78" s="8" t="s">
        <v>226</v>
      </c>
      <c r="C78" s="9">
        <v>53</v>
      </c>
      <c r="D78" s="9">
        <v>1713</v>
      </c>
      <c r="E78" s="9">
        <v>3.1</v>
      </c>
      <c r="F78" s="265">
        <v>-6.8000000000000005E-2</v>
      </c>
    </row>
    <row r="79" spans="1:6" ht="15" thickBot="1" x14ac:dyDescent="0.4">
      <c r="A79" s="8">
        <v>78</v>
      </c>
      <c r="B79" s="8" t="s">
        <v>227</v>
      </c>
      <c r="C79" s="9">
        <v>85</v>
      </c>
      <c r="D79" s="9">
        <v>1881</v>
      </c>
      <c r="E79" s="9">
        <v>4.5</v>
      </c>
      <c r="F79" s="265">
        <v>-6.8000000000000005E-2</v>
      </c>
    </row>
    <row r="80" spans="1:6" ht="15" thickBot="1" x14ac:dyDescent="0.4">
      <c r="A80" s="8">
        <v>79</v>
      </c>
      <c r="B80" s="8" t="s">
        <v>112</v>
      </c>
      <c r="C80" s="9">
        <v>62</v>
      </c>
      <c r="D80" s="9">
        <v>1010</v>
      </c>
      <c r="E80" s="9">
        <v>6.1</v>
      </c>
      <c r="F80" s="265">
        <v>-6.9000000000000006E-2</v>
      </c>
    </row>
    <row r="81" spans="1:6" ht="15" thickBot="1" x14ac:dyDescent="0.4">
      <c r="A81" s="8">
        <v>80</v>
      </c>
      <c r="B81" s="8" t="s">
        <v>164</v>
      </c>
      <c r="C81" s="9">
        <v>114</v>
      </c>
      <c r="D81" s="9">
        <v>2159</v>
      </c>
      <c r="E81" s="9">
        <v>5.3</v>
      </c>
      <c r="F81" s="265">
        <v>-6.9000000000000006E-2</v>
      </c>
    </row>
    <row r="82" spans="1:6" ht="15" thickBot="1" x14ac:dyDescent="0.4">
      <c r="A82" s="8">
        <v>81</v>
      </c>
      <c r="B82" s="8" t="s">
        <v>228</v>
      </c>
      <c r="C82" s="9">
        <v>98</v>
      </c>
      <c r="D82" s="9">
        <v>2428</v>
      </c>
      <c r="E82" s="9">
        <v>4</v>
      </c>
      <c r="F82" s="265">
        <v>-7.0000000000000007E-2</v>
      </c>
    </row>
    <row r="83" spans="1:6" ht="15" thickBot="1" x14ac:dyDescent="0.4">
      <c r="A83" s="8">
        <v>82</v>
      </c>
      <c r="B83" s="8" t="s">
        <v>229</v>
      </c>
      <c r="C83" s="9">
        <v>75</v>
      </c>
      <c r="D83" s="9">
        <v>2089</v>
      </c>
      <c r="E83" s="9">
        <v>3.6</v>
      </c>
      <c r="F83" s="265">
        <v>-7.0000000000000007E-2</v>
      </c>
    </row>
    <row r="84" spans="1:6" ht="15" thickBot="1" x14ac:dyDescent="0.4">
      <c r="A84" s="8">
        <v>83</v>
      </c>
      <c r="B84" s="8" t="s">
        <v>118</v>
      </c>
      <c r="C84" s="9">
        <v>99</v>
      </c>
      <c r="D84" s="9">
        <v>2572</v>
      </c>
      <c r="E84" s="9">
        <v>3.8</v>
      </c>
      <c r="F84" s="265">
        <v>-7.0999999999999994E-2</v>
      </c>
    </row>
    <row r="85" spans="1:6" ht="15" thickBot="1" x14ac:dyDescent="0.4">
      <c r="A85" s="8">
        <v>84</v>
      </c>
      <c r="B85" s="8" t="s">
        <v>117</v>
      </c>
      <c r="C85" s="9">
        <v>67</v>
      </c>
      <c r="D85" s="9">
        <v>1725</v>
      </c>
      <c r="E85" s="9">
        <v>3.9</v>
      </c>
      <c r="F85" s="265">
        <v>-7.1999999999999995E-2</v>
      </c>
    </row>
    <row r="86" spans="1:6" ht="15" thickBot="1" x14ac:dyDescent="0.4">
      <c r="A86" s="8">
        <v>85</v>
      </c>
      <c r="B86" s="8" t="s">
        <v>155</v>
      </c>
      <c r="C86" s="9">
        <v>96</v>
      </c>
      <c r="D86" s="9">
        <v>2349</v>
      </c>
      <c r="E86" s="9">
        <v>4.0999999999999996</v>
      </c>
      <c r="F86" s="265">
        <v>-7.1999999999999995E-2</v>
      </c>
    </row>
    <row r="87" spans="1:6" ht="15" thickBot="1" x14ac:dyDescent="0.4">
      <c r="A87" s="8">
        <v>86</v>
      </c>
      <c r="B87" s="8" t="s">
        <v>138</v>
      </c>
      <c r="C87" s="9">
        <v>115</v>
      </c>
      <c r="D87" s="9">
        <v>2198</v>
      </c>
      <c r="E87" s="9">
        <v>5.2</v>
      </c>
      <c r="F87" s="265">
        <v>-7.1999999999999995E-2</v>
      </c>
    </row>
    <row r="88" spans="1:6" ht="15" thickBot="1" x14ac:dyDescent="0.4">
      <c r="A88" s="8">
        <v>87</v>
      </c>
      <c r="B88" s="8" t="s">
        <v>131</v>
      </c>
      <c r="C88" s="9">
        <v>91</v>
      </c>
      <c r="D88" s="9">
        <v>2436</v>
      </c>
      <c r="E88" s="9">
        <v>3.7</v>
      </c>
      <c r="F88" s="265">
        <v>-7.4999999999999997E-2</v>
      </c>
    </row>
    <row r="89" spans="1:6" ht="15" thickBot="1" x14ac:dyDescent="0.4">
      <c r="A89" s="8">
        <v>88</v>
      </c>
      <c r="B89" s="8" t="s">
        <v>156</v>
      </c>
      <c r="C89" s="9">
        <v>120</v>
      </c>
      <c r="D89" s="9">
        <v>2301</v>
      </c>
      <c r="E89" s="9">
        <v>5.2</v>
      </c>
      <c r="F89" s="265">
        <v>-7.9000000000000001E-2</v>
      </c>
    </row>
    <row r="90" spans="1:6" ht="15" thickBot="1" x14ac:dyDescent="0.4">
      <c r="A90" s="8">
        <v>89</v>
      </c>
      <c r="B90" s="8" t="s">
        <v>122</v>
      </c>
      <c r="C90" s="9">
        <v>143</v>
      </c>
      <c r="D90" s="9">
        <v>1768</v>
      </c>
      <c r="E90" s="9">
        <v>8.1</v>
      </c>
      <c r="F90" s="265">
        <v>-0.08</v>
      </c>
    </row>
    <row r="91" spans="1:6" ht="15" thickBot="1" x14ac:dyDescent="0.4">
      <c r="A91" s="8">
        <v>90</v>
      </c>
      <c r="B91" s="8" t="s">
        <v>230</v>
      </c>
      <c r="C91" s="9">
        <v>51</v>
      </c>
      <c r="D91" s="9">
        <v>1389</v>
      </c>
      <c r="E91" s="9">
        <v>3.7</v>
      </c>
      <c r="F91" s="265">
        <v>-8.1000000000000003E-2</v>
      </c>
    </row>
    <row r="92" spans="1:6" ht="15" thickBot="1" x14ac:dyDescent="0.4">
      <c r="A92" s="8">
        <v>91</v>
      </c>
      <c r="B92" s="8" t="s">
        <v>111</v>
      </c>
      <c r="C92" s="9">
        <v>92</v>
      </c>
      <c r="D92" s="9">
        <v>2303</v>
      </c>
      <c r="E92" s="9">
        <v>4</v>
      </c>
      <c r="F92" s="265">
        <v>-8.2000000000000003E-2</v>
      </c>
    </row>
    <row r="93" spans="1:6" ht="15" thickBot="1" x14ac:dyDescent="0.4">
      <c r="A93" s="8">
        <v>92</v>
      </c>
      <c r="B93" s="8" t="s">
        <v>134</v>
      </c>
      <c r="C93" s="9">
        <v>99</v>
      </c>
      <c r="D93" s="9">
        <v>1538</v>
      </c>
      <c r="E93" s="9">
        <v>6.4</v>
      </c>
      <c r="F93" s="265">
        <v>-8.3000000000000004E-2</v>
      </c>
    </row>
    <row r="94" spans="1:6" ht="15" thickBot="1" x14ac:dyDescent="0.4">
      <c r="A94" s="8">
        <v>93</v>
      </c>
      <c r="B94" s="8" t="s">
        <v>163</v>
      </c>
      <c r="C94" s="9">
        <v>77</v>
      </c>
      <c r="D94" s="9">
        <v>2102</v>
      </c>
      <c r="E94" s="9">
        <v>3.7</v>
      </c>
      <c r="F94" s="265">
        <v>-8.3000000000000004E-2</v>
      </c>
    </row>
    <row r="95" spans="1:6" ht="15" thickBot="1" x14ac:dyDescent="0.4">
      <c r="A95" s="8">
        <v>94</v>
      </c>
      <c r="B95" s="8" t="s">
        <v>231</v>
      </c>
      <c r="C95" s="9">
        <v>55</v>
      </c>
      <c r="D95" s="9">
        <v>1572</v>
      </c>
      <c r="E95" s="9">
        <v>3.5</v>
      </c>
      <c r="F95" s="265">
        <v>-8.5000000000000006E-2</v>
      </c>
    </row>
    <row r="96" spans="1:6" ht="15" thickBot="1" x14ac:dyDescent="0.4">
      <c r="A96" s="8">
        <v>95</v>
      </c>
      <c r="B96" s="8" t="s">
        <v>108</v>
      </c>
      <c r="C96" s="9">
        <v>61</v>
      </c>
      <c r="D96" s="9">
        <v>1004</v>
      </c>
      <c r="E96" s="9">
        <v>6.1</v>
      </c>
      <c r="F96" s="265">
        <v>-8.5999999999999993E-2</v>
      </c>
    </row>
    <row r="97" spans="1:6" ht="15" thickBot="1" x14ac:dyDescent="0.4">
      <c r="A97" s="8">
        <v>96</v>
      </c>
      <c r="B97" s="8" t="s">
        <v>126</v>
      </c>
      <c r="C97" s="9">
        <v>66</v>
      </c>
      <c r="D97" s="9">
        <v>1759</v>
      </c>
      <c r="E97" s="9">
        <v>3.8</v>
      </c>
      <c r="F97" s="265">
        <v>-8.7999999999999995E-2</v>
      </c>
    </row>
    <row r="98" spans="1:6" ht="15" thickBot="1" x14ac:dyDescent="0.4">
      <c r="A98" s="8">
        <v>97</v>
      </c>
      <c r="B98" s="8" t="s">
        <v>143</v>
      </c>
      <c r="C98" s="9">
        <v>139</v>
      </c>
      <c r="D98" s="9">
        <v>2262</v>
      </c>
      <c r="E98" s="9">
        <v>6.1</v>
      </c>
      <c r="F98" s="265">
        <v>-9.1999999999999998E-2</v>
      </c>
    </row>
    <row r="99" spans="1:6" ht="15" thickBot="1" x14ac:dyDescent="0.4">
      <c r="A99" s="8">
        <v>98</v>
      </c>
      <c r="B99" s="8" t="s">
        <v>232</v>
      </c>
      <c r="C99" s="9">
        <v>59</v>
      </c>
      <c r="D99" s="9">
        <v>1529</v>
      </c>
      <c r="E99" s="9">
        <v>3.9</v>
      </c>
      <c r="F99" s="265">
        <v>-9.4E-2</v>
      </c>
    </row>
    <row r="100" spans="1:6" ht="15" thickBot="1" x14ac:dyDescent="0.4">
      <c r="A100" s="8">
        <v>99</v>
      </c>
      <c r="B100" s="8" t="s">
        <v>153</v>
      </c>
      <c r="C100" s="9">
        <v>91</v>
      </c>
      <c r="D100" s="9">
        <v>2196</v>
      </c>
      <c r="E100" s="9">
        <v>4.0999999999999996</v>
      </c>
      <c r="F100" s="265">
        <v>-9.5000000000000001E-2</v>
      </c>
    </row>
    <row r="101" spans="1:6" ht="15" thickBot="1" x14ac:dyDescent="0.4">
      <c r="A101" s="8">
        <v>100</v>
      </c>
      <c r="B101" s="8" t="s">
        <v>129</v>
      </c>
      <c r="C101" s="9">
        <v>94</v>
      </c>
      <c r="D101" s="9">
        <v>1594</v>
      </c>
      <c r="E101" s="9">
        <v>5.9</v>
      </c>
      <c r="F101" s="265">
        <v>-0.10100000000000001</v>
      </c>
    </row>
    <row r="102" spans="1:6" ht="15" thickBot="1" x14ac:dyDescent="0.4">
      <c r="A102" s="8">
        <v>101</v>
      </c>
      <c r="B102" s="8" t="s">
        <v>120</v>
      </c>
      <c r="C102" s="9">
        <v>90</v>
      </c>
      <c r="D102" s="9">
        <v>2618</v>
      </c>
      <c r="E102" s="9">
        <v>3.4</v>
      </c>
      <c r="F102" s="265">
        <v>-0.105</v>
      </c>
    </row>
    <row r="103" spans="1:6" ht="15" thickBot="1" x14ac:dyDescent="0.4">
      <c r="A103" s="8">
        <v>102</v>
      </c>
      <c r="B103" s="8" t="s">
        <v>233</v>
      </c>
      <c r="C103" s="9">
        <v>52</v>
      </c>
      <c r="D103" s="9">
        <v>1263</v>
      </c>
      <c r="E103" s="9">
        <v>4.0999999999999996</v>
      </c>
      <c r="F103" s="265">
        <v>-0.105</v>
      </c>
    </row>
    <row r="104" spans="1:6" ht="15" thickBot="1" x14ac:dyDescent="0.4">
      <c r="A104" s="8">
        <v>103</v>
      </c>
      <c r="B104" s="8" t="s">
        <v>144</v>
      </c>
      <c r="C104" s="9">
        <v>129</v>
      </c>
      <c r="D104" s="9">
        <v>2392</v>
      </c>
      <c r="E104" s="9">
        <v>5.4</v>
      </c>
      <c r="F104" s="265">
        <v>-0.107</v>
      </c>
    </row>
    <row r="105" spans="1:6" ht="15" thickBot="1" x14ac:dyDescent="0.4">
      <c r="A105" s="8">
        <v>104</v>
      </c>
      <c r="B105" s="8" t="s">
        <v>234</v>
      </c>
      <c r="C105" s="9">
        <v>69</v>
      </c>
      <c r="D105" s="9">
        <v>2023</v>
      </c>
      <c r="E105" s="9">
        <v>3.4</v>
      </c>
      <c r="F105" s="265">
        <v>-0.108</v>
      </c>
    </row>
    <row r="106" spans="1:6" ht="15" thickBot="1" x14ac:dyDescent="0.4">
      <c r="A106" s="8">
        <v>105</v>
      </c>
      <c r="B106" s="8" t="s">
        <v>114</v>
      </c>
      <c r="C106" s="9">
        <v>132</v>
      </c>
      <c r="D106" s="9">
        <v>2195</v>
      </c>
      <c r="E106" s="9">
        <v>6</v>
      </c>
      <c r="F106" s="265">
        <v>-0.109</v>
      </c>
    </row>
    <row r="107" spans="1:6" ht="15" thickBot="1" x14ac:dyDescent="0.4">
      <c r="A107" s="8">
        <v>106</v>
      </c>
      <c r="B107" s="8" t="s">
        <v>115</v>
      </c>
      <c r="C107" s="9">
        <v>96</v>
      </c>
      <c r="D107" s="9">
        <v>2066</v>
      </c>
      <c r="E107" s="9">
        <v>4.5999999999999996</v>
      </c>
      <c r="F107" s="265">
        <v>-0.11</v>
      </c>
    </row>
    <row r="108" spans="1:6" ht="15" thickBot="1" x14ac:dyDescent="0.4">
      <c r="A108" s="8">
        <v>107</v>
      </c>
      <c r="B108" s="8" t="s">
        <v>154</v>
      </c>
      <c r="C108" s="9">
        <v>55</v>
      </c>
      <c r="D108" s="9">
        <v>1900</v>
      </c>
      <c r="E108" s="9">
        <v>2.9</v>
      </c>
      <c r="F108" s="265">
        <v>-0.111</v>
      </c>
    </row>
    <row r="109" spans="1:6" ht="15" thickBot="1" x14ac:dyDescent="0.4">
      <c r="A109" s="8">
        <v>108</v>
      </c>
      <c r="B109" s="8" t="s">
        <v>235</v>
      </c>
      <c r="C109" s="9">
        <v>60</v>
      </c>
      <c r="D109" s="9">
        <v>2543</v>
      </c>
      <c r="E109" s="9">
        <v>2.4</v>
      </c>
      <c r="F109" s="265">
        <v>-0.111</v>
      </c>
    </row>
    <row r="110" spans="1:6" ht="15" thickBot="1" x14ac:dyDescent="0.4">
      <c r="A110" s="8">
        <v>109</v>
      </c>
      <c r="B110" s="8" t="s">
        <v>121</v>
      </c>
      <c r="C110" s="9">
        <v>115</v>
      </c>
      <c r="D110" s="9">
        <v>2878</v>
      </c>
      <c r="E110" s="9">
        <v>4</v>
      </c>
      <c r="F110" s="265">
        <v>-0.112</v>
      </c>
    </row>
    <row r="111" spans="1:6" ht="15" thickBot="1" x14ac:dyDescent="0.4">
      <c r="A111" s="8">
        <v>110</v>
      </c>
      <c r="B111" s="8" t="s">
        <v>116</v>
      </c>
      <c r="C111" s="9">
        <v>182</v>
      </c>
      <c r="D111" s="9">
        <v>2268</v>
      </c>
      <c r="E111" s="9">
        <v>8</v>
      </c>
      <c r="F111" s="265">
        <v>-0.115</v>
      </c>
    </row>
    <row r="112" spans="1:6" ht="15" thickBot="1" x14ac:dyDescent="0.4">
      <c r="A112" s="8">
        <v>111</v>
      </c>
      <c r="B112" s="8" t="s">
        <v>109</v>
      </c>
      <c r="C112" s="9">
        <v>90</v>
      </c>
      <c r="D112" s="9">
        <v>1700</v>
      </c>
      <c r="E112" s="9">
        <v>5.3</v>
      </c>
      <c r="F112" s="265">
        <v>-0.126</v>
      </c>
    </row>
    <row r="113" spans="1:6" ht="15" thickBot="1" x14ac:dyDescent="0.4">
      <c r="A113" s="8">
        <v>112</v>
      </c>
      <c r="B113" s="8" t="s">
        <v>236</v>
      </c>
      <c r="C113" s="9">
        <v>60</v>
      </c>
      <c r="D113" s="9">
        <v>1276</v>
      </c>
      <c r="E113" s="9">
        <v>4.7</v>
      </c>
      <c r="F113" s="265">
        <v>-0.127</v>
      </c>
    </row>
    <row r="114" spans="1:6" ht="15" thickBot="1" x14ac:dyDescent="0.4">
      <c r="A114" s="8">
        <v>113</v>
      </c>
      <c r="B114" s="8" t="s">
        <v>237</v>
      </c>
      <c r="C114" s="9">
        <v>52</v>
      </c>
      <c r="D114" s="9">
        <v>1522</v>
      </c>
      <c r="E114" s="9">
        <v>3.4</v>
      </c>
      <c r="F114" s="265">
        <v>-0.14399999999999999</v>
      </c>
    </row>
    <row r="115" spans="1:6" ht="15" thickBot="1" x14ac:dyDescent="0.4">
      <c r="A115" s="8">
        <v>114</v>
      </c>
      <c r="B115" s="8" t="s">
        <v>238</v>
      </c>
      <c r="C115" s="9">
        <v>53</v>
      </c>
      <c r="D115" s="9">
        <v>1391</v>
      </c>
      <c r="E115" s="9">
        <v>3.8</v>
      </c>
      <c r="F115" s="265">
        <v>-0.15</v>
      </c>
    </row>
    <row r="116" spans="1:6" ht="15" thickBot="1" x14ac:dyDescent="0.4">
      <c r="A116" s="8">
        <v>115</v>
      </c>
      <c r="B116" s="8" t="s">
        <v>239</v>
      </c>
      <c r="C116" s="9">
        <v>59</v>
      </c>
      <c r="D116" s="9">
        <v>1340</v>
      </c>
      <c r="E116" s="9">
        <v>4.4000000000000004</v>
      </c>
      <c r="F116" s="265">
        <v>-0.156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01D6-A153-4528-AD3B-76C3577F01C4}">
  <dimension ref="A1:J194"/>
  <sheetViews>
    <sheetView workbookViewId="0">
      <selection activeCell="F2" sqref="F2"/>
    </sheetView>
  </sheetViews>
  <sheetFormatPr defaultRowHeight="14.5" x14ac:dyDescent="0.35"/>
  <cols>
    <col min="1" max="1" width="15.7265625" style="14" bestFit="1" customWidth="1"/>
    <col min="2" max="5" width="8.7265625" style="14"/>
    <col min="6" max="6" width="9.453125" bestFit="1" customWidth="1"/>
  </cols>
  <sheetData>
    <row r="1" spans="1:10" x14ac:dyDescent="0.35">
      <c r="A1" s="12" t="s">
        <v>102</v>
      </c>
      <c r="B1" s="15" t="s">
        <v>5</v>
      </c>
      <c r="C1" s="15" t="s">
        <v>106</v>
      </c>
      <c r="D1" s="15" t="s">
        <v>107</v>
      </c>
      <c r="E1" s="15" t="s">
        <v>323</v>
      </c>
      <c r="F1" s="17" t="s">
        <v>287</v>
      </c>
      <c r="G1" s="15" t="s">
        <v>321</v>
      </c>
      <c r="J1" t="s">
        <v>319</v>
      </c>
    </row>
    <row r="2" spans="1:10" ht="15" thickBot="1" x14ac:dyDescent="0.4">
      <c r="A2" s="13" t="s">
        <v>240</v>
      </c>
      <c r="B2" s="16">
        <v>32</v>
      </c>
      <c r="C2" s="16">
        <v>0.34399999999999997</v>
      </c>
      <c r="D2" s="16">
        <v>0.214</v>
      </c>
      <c r="E2" s="16">
        <v>79.2</v>
      </c>
      <c r="F2" s="11">
        <v>1</v>
      </c>
      <c r="G2" s="18">
        <v>1</v>
      </c>
    </row>
    <row r="3" spans="1:10" ht="15" thickBot="1" x14ac:dyDescent="0.4">
      <c r="A3" s="13" t="s">
        <v>241</v>
      </c>
      <c r="B3" s="16">
        <v>41</v>
      </c>
      <c r="C3" s="16">
        <v>0.36599999999999999</v>
      </c>
      <c r="D3" s="16">
        <v>0.23699999999999999</v>
      </c>
      <c r="E3" s="16">
        <v>82.3</v>
      </c>
      <c r="F3" s="11">
        <v>1</v>
      </c>
      <c r="G3" s="18">
        <v>0</v>
      </c>
      <c r="J3" t="s">
        <v>320</v>
      </c>
    </row>
    <row r="4" spans="1:10" ht="15" thickBot="1" x14ac:dyDescent="0.4">
      <c r="A4" s="13" t="s">
        <v>189</v>
      </c>
      <c r="B4" s="16">
        <v>53</v>
      </c>
      <c r="C4" s="16">
        <v>0.35799999999999998</v>
      </c>
      <c r="D4" s="16">
        <v>0.23200000000000001</v>
      </c>
      <c r="E4" s="16">
        <v>85.3</v>
      </c>
      <c r="F4" s="11">
        <v>1</v>
      </c>
      <c r="G4" s="18">
        <v>0</v>
      </c>
    </row>
    <row r="5" spans="1:10" ht="15" thickBot="1" x14ac:dyDescent="0.4">
      <c r="A5" s="13" t="s">
        <v>242</v>
      </c>
      <c r="B5" s="16">
        <v>35</v>
      </c>
      <c r="C5" s="16">
        <v>0.34300000000000003</v>
      </c>
      <c r="D5" s="16">
        <v>0.22800000000000001</v>
      </c>
      <c r="E5" s="16">
        <v>84.5</v>
      </c>
      <c r="F5" s="11">
        <v>1</v>
      </c>
      <c r="G5" s="18">
        <v>1</v>
      </c>
      <c r="J5" t="s">
        <v>322</v>
      </c>
    </row>
    <row r="6" spans="1:10" ht="15" thickBot="1" x14ac:dyDescent="0.4">
      <c r="A6" s="13" t="s">
        <v>161</v>
      </c>
      <c r="B6" s="16">
        <v>70</v>
      </c>
      <c r="C6" s="16">
        <v>0.32900000000000001</v>
      </c>
      <c r="D6" s="16">
        <v>0.221</v>
      </c>
      <c r="E6" s="16">
        <v>87</v>
      </c>
      <c r="F6" s="11">
        <v>1</v>
      </c>
      <c r="G6" s="18">
        <v>1</v>
      </c>
    </row>
    <row r="7" spans="1:10" ht="15" thickBot="1" x14ac:dyDescent="0.4">
      <c r="A7" s="13" t="s">
        <v>191</v>
      </c>
      <c r="B7" s="16">
        <v>66</v>
      </c>
      <c r="C7" s="16">
        <v>0.34799999999999998</v>
      </c>
      <c r="D7" s="16">
        <v>0.253</v>
      </c>
      <c r="E7" s="16">
        <v>86.5</v>
      </c>
      <c r="F7" s="11">
        <v>1</v>
      </c>
      <c r="G7" s="18">
        <v>0</v>
      </c>
    </row>
    <row r="8" spans="1:10" ht="15" thickBot="1" x14ac:dyDescent="0.4">
      <c r="A8" s="13" t="s">
        <v>243</v>
      </c>
      <c r="B8" s="16">
        <v>44</v>
      </c>
      <c r="C8" s="16">
        <v>0.318</v>
      </c>
      <c r="D8" s="16">
        <v>0.22800000000000001</v>
      </c>
      <c r="E8" s="16">
        <v>87.5</v>
      </c>
      <c r="F8" s="11">
        <v>1</v>
      </c>
      <c r="G8" s="18">
        <v>0</v>
      </c>
    </row>
    <row r="9" spans="1:10" ht="15" thickBot="1" x14ac:dyDescent="0.4">
      <c r="A9" s="13" t="s">
        <v>244</v>
      </c>
      <c r="B9" s="16">
        <v>34</v>
      </c>
      <c r="C9" s="16">
        <v>0.29399999999999998</v>
      </c>
      <c r="D9" s="16">
        <v>0.20799999999999999</v>
      </c>
      <c r="E9" s="16">
        <v>78.099999999999994</v>
      </c>
      <c r="F9" s="11">
        <v>1</v>
      </c>
      <c r="G9" s="18">
        <v>0</v>
      </c>
    </row>
    <row r="10" spans="1:10" ht="15" thickBot="1" x14ac:dyDescent="0.4">
      <c r="A10" s="13" t="s">
        <v>192</v>
      </c>
      <c r="B10" s="16">
        <v>52</v>
      </c>
      <c r="C10" s="16">
        <v>0.34599999999999997</v>
      </c>
      <c r="D10" s="16">
        <v>0.26200000000000001</v>
      </c>
      <c r="E10" s="16">
        <v>89.5</v>
      </c>
      <c r="F10" s="11">
        <v>1</v>
      </c>
      <c r="G10" s="18">
        <v>0</v>
      </c>
    </row>
    <row r="11" spans="1:10" ht="15" thickBot="1" x14ac:dyDescent="0.4">
      <c r="A11" s="13" t="s">
        <v>193</v>
      </c>
      <c r="B11" s="16">
        <v>52</v>
      </c>
      <c r="C11" s="16">
        <v>0.308</v>
      </c>
      <c r="D11" s="16">
        <v>0.22800000000000001</v>
      </c>
      <c r="E11" s="16">
        <v>88.4</v>
      </c>
      <c r="F11" s="11">
        <v>1</v>
      </c>
      <c r="G11" s="18">
        <v>1</v>
      </c>
    </row>
    <row r="12" spans="1:10" ht="15" thickBot="1" x14ac:dyDescent="0.4">
      <c r="A12" s="13" t="s">
        <v>172</v>
      </c>
      <c r="B12" s="16">
        <v>71</v>
      </c>
      <c r="C12" s="16">
        <v>0.28199999999999997</v>
      </c>
      <c r="D12" s="16">
        <v>0.20399999999999999</v>
      </c>
      <c r="E12" s="16">
        <v>80.2</v>
      </c>
      <c r="F12" s="11">
        <v>1</v>
      </c>
      <c r="G12" s="18">
        <v>0</v>
      </c>
    </row>
    <row r="13" spans="1:10" ht="15" thickBot="1" x14ac:dyDescent="0.4">
      <c r="A13" s="13" t="s">
        <v>245</v>
      </c>
      <c r="B13" s="16">
        <v>38</v>
      </c>
      <c r="C13" s="16">
        <v>0.28899999999999998</v>
      </c>
      <c r="D13" s="16">
        <v>0.21299999999999999</v>
      </c>
      <c r="E13" s="16">
        <v>86.8</v>
      </c>
      <c r="F13" s="11">
        <v>1</v>
      </c>
      <c r="G13" s="18">
        <v>0</v>
      </c>
    </row>
    <row r="14" spans="1:10" ht="15" thickBot="1" x14ac:dyDescent="0.4">
      <c r="A14" s="13" t="s">
        <v>246</v>
      </c>
      <c r="B14" s="16">
        <v>43</v>
      </c>
      <c r="C14" s="16">
        <v>0.34899999999999998</v>
      </c>
      <c r="D14" s="16">
        <v>0.28499999999999998</v>
      </c>
      <c r="E14" s="16">
        <v>83.2</v>
      </c>
      <c r="F14" s="11">
        <v>1</v>
      </c>
      <c r="G14" s="18">
        <v>0</v>
      </c>
    </row>
    <row r="15" spans="1:10" ht="15" thickBot="1" x14ac:dyDescent="0.4">
      <c r="A15" s="13" t="s">
        <v>165</v>
      </c>
      <c r="B15" s="16">
        <v>77</v>
      </c>
      <c r="C15" s="16">
        <v>0.33800000000000002</v>
      </c>
      <c r="D15" s="16">
        <v>0.27900000000000003</v>
      </c>
      <c r="E15" s="16">
        <v>89.5</v>
      </c>
      <c r="F15" s="11">
        <v>1</v>
      </c>
      <c r="G15" s="18">
        <v>0</v>
      </c>
    </row>
    <row r="16" spans="1:10" ht="15" thickBot="1" x14ac:dyDescent="0.4">
      <c r="A16" s="13" t="s">
        <v>195</v>
      </c>
      <c r="B16" s="16">
        <v>59</v>
      </c>
      <c r="C16" s="16">
        <v>0.32200000000000001</v>
      </c>
      <c r="D16" s="16">
        <v>0.26700000000000002</v>
      </c>
      <c r="E16" s="16">
        <v>86.8</v>
      </c>
      <c r="F16" s="11">
        <v>1</v>
      </c>
      <c r="G16" s="18">
        <v>0</v>
      </c>
    </row>
    <row r="17" spans="1:7" ht="15" thickBot="1" x14ac:dyDescent="0.4">
      <c r="A17" s="13" t="s">
        <v>247</v>
      </c>
      <c r="B17" s="16">
        <v>38</v>
      </c>
      <c r="C17" s="16">
        <v>0.26300000000000001</v>
      </c>
      <c r="D17" s="16">
        <v>0.20799999999999999</v>
      </c>
      <c r="E17" s="16">
        <v>86.8</v>
      </c>
      <c r="F17" s="11">
        <v>1</v>
      </c>
      <c r="G17" s="18">
        <v>0</v>
      </c>
    </row>
    <row r="18" spans="1:7" ht="15" thickBot="1" x14ac:dyDescent="0.4">
      <c r="A18" s="13" t="s">
        <v>196</v>
      </c>
      <c r="B18" s="16">
        <v>62</v>
      </c>
      <c r="C18" s="16">
        <v>0.27400000000000002</v>
      </c>
      <c r="D18" s="16">
        <v>0.219</v>
      </c>
      <c r="E18" s="16">
        <v>89</v>
      </c>
      <c r="F18" s="11">
        <v>1</v>
      </c>
      <c r="G18" s="18">
        <v>1</v>
      </c>
    </row>
    <row r="19" spans="1:7" ht="15" thickBot="1" x14ac:dyDescent="0.4">
      <c r="A19" s="13" t="s">
        <v>197</v>
      </c>
      <c r="B19" s="16">
        <v>64</v>
      </c>
      <c r="C19" s="16">
        <v>0.26600000000000001</v>
      </c>
      <c r="D19" s="16">
        <v>0.22</v>
      </c>
      <c r="E19" s="16">
        <v>82.1</v>
      </c>
      <c r="F19" s="11">
        <v>1</v>
      </c>
      <c r="G19" s="18">
        <v>0</v>
      </c>
    </row>
    <row r="20" spans="1:7" ht="15" thickBot="1" x14ac:dyDescent="0.4">
      <c r="A20" s="13" t="s">
        <v>149</v>
      </c>
      <c r="B20" s="16">
        <v>98</v>
      </c>
      <c r="C20" s="16">
        <v>0.29599999999999999</v>
      </c>
      <c r="D20" s="16">
        <v>0.251</v>
      </c>
      <c r="E20" s="16">
        <v>92.2</v>
      </c>
      <c r="F20" s="11">
        <v>1</v>
      </c>
      <c r="G20" s="18">
        <v>1</v>
      </c>
    </row>
    <row r="21" spans="1:7" ht="15" thickBot="1" x14ac:dyDescent="0.4">
      <c r="A21" s="13" t="s">
        <v>198</v>
      </c>
      <c r="B21" s="16">
        <v>50</v>
      </c>
      <c r="C21" s="16">
        <v>0.26</v>
      </c>
      <c r="D21" s="16">
        <v>0.217</v>
      </c>
      <c r="E21" s="16">
        <v>80.3</v>
      </c>
      <c r="F21" s="11">
        <v>1</v>
      </c>
      <c r="G21" s="18">
        <v>1</v>
      </c>
    </row>
    <row r="22" spans="1:7" ht="15" thickBot="1" x14ac:dyDescent="0.4">
      <c r="A22" s="13" t="s">
        <v>199</v>
      </c>
      <c r="B22" s="16">
        <v>50</v>
      </c>
      <c r="C22" s="16">
        <v>0.28000000000000003</v>
      </c>
      <c r="D22" s="16">
        <v>0.23799999999999999</v>
      </c>
      <c r="E22" s="16">
        <v>86</v>
      </c>
      <c r="F22" s="11">
        <v>1</v>
      </c>
      <c r="G22" s="18">
        <v>1</v>
      </c>
    </row>
    <row r="23" spans="1:7" ht="15" thickBot="1" x14ac:dyDescent="0.4">
      <c r="A23" s="13" t="s">
        <v>148</v>
      </c>
      <c r="B23" s="16">
        <v>58</v>
      </c>
      <c r="C23" s="16">
        <v>0.25900000000000001</v>
      </c>
      <c r="D23" s="16">
        <v>0.223</v>
      </c>
      <c r="E23" s="16">
        <v>88.4</v>
      </c>
      <c r="F23" s="11">
        <v>1</v>
      </c>
      <c r="G23" s="18">
        <v>0</v>
      </c>
    </row>
    <row r="24" spans="1:7" ht="15" thickBot="1" x14ac:dyDescent="0.4">
      <c r="A24" s="13" t="s">
        <v>171</v>
      </c>
      <c r="B24" s="16">
        <v>111</v>
      </c>
      <c r="C24" s="16">
        <v>0.27900000000000003</v>
      </c>
      <c r="D24" s="16">
        <v>0.251</v>
      </c>
      <c r="E24" s="16">
        <v>86.2</v>
      </c>
      <c r="F24" s="11">
        <v>1</v>
      </c>
      <c r="G24" s="18">
        <v>1</v>
      </c>
    </row>
    <row r="25" spans="1:7" ht="15" thickBot="1" x14ac:dyDescent="0.4">
      <c r="A25" s="13" t="s">
        <v>157</v>
      </c>
      <c r="B25" s="16">
        <v>102</v>
      </c>
      <c r="C25" s="16">
        <v>0.28399999999999997</v>
      </c>
      <c r="D25" s="16">
        <v>0.25700000000000001</v>
      </c>
      <c r="E25" s="16">
        <v>86.1</v>
      </c>
      <c r="F25" s="11">
        <v>1</v>
      </c>
      <c r="G25" s="18">
        <v>0</v>
      </c>
    </row>
    <row r="26" spans="1:7" ht="15" thickBot="1" x14ac:dyDescent="0.4">
      <c r="A26" s="13" t="s">
        <v>170</v>
      </c>
      <c r="B26" s="16">
        <v>81</v>
      </c>
      <c r="C26" s="16">
        <v>0.247</v>
      </c>
      <c r="D26" s="16">
        <v>0.224</v>
      </c>
      <c r="E26" s="16">
        <v>89.8</v>
      </c>
      <c r="F26" s="11">
        <v>1</v>
      </c>
      <c r="G26" s="18">
        <v>1</v>
      </c>
    </row>
    <row r="27" spans="1:7" ht="15" thickBot="1" x14ac:dyDescent="0.4">
      <c r="A27" s="13" t="s">
        <v>123</v>
      </c>
      <c r="B27" s="16">
        <v>87</v>
      </c>
      <c r="C27" s="16">
        <v>0.28699999999999998</v>
      </c>
      <c r="D27" s="16">
        <v>0.26600000000000001</v>
      </c>
      <c r="E27" s="16">
        <v>86.6</v>
      </c>
      <c r="F27" s="11">
        <v>1</v>
      </c>
      <c r="G27" s="18">
        <v>1</v>
      </c>
    </row>
    <row r="28" spans="1:7" ht="15" thickBot="1" x14ac:dyDescent="0.4">
      <c r="A28" s="13" t="s">
        <v>248</v>
      </c>
      <c r="B28" s="16">
        <v>38</v>
      </c>
      <c r="C28" s="16">
        <v>0.26300000000000001</v>
      </c>
      <c r="D28" s="16">
        <v>0.24299999999999999</v>
      </c>
      <c r="E28" s="16">
        <v>79.400000000000006</v>
      </c>
      <c r="F28" s="11">
        <v>1</v>
      </c>
      <c r="G28" s="18">
        <v>0</v>
      </c>
    </row>
    <row r="29" spans="1:7" ht="15" thickBot="1" x14ac:dyDescent="0.4">
      <c r="A29" s="13" t="s">
        <v>151</v>
      </c>
      <c r="B29" s="16">
        <v>68</v>
      </c>
      <c r="C29" s="16">
        <v>0.26500000000000001</v>
      </c>
      <c r="D29" s="16">
        <v>0.245</v>
      </c>
      <c r="E29" s="16">
        <v>85.3</v>
      </c>
      <c r="F29" s="11">
        <v>1</v>
      </c>
      <c r="G29" s="18">
        <v>1</v>
      </c>
    </row>
    <row r="30" spans="1:7" ht="15" thickBot="1" x14ac:dyDescent="0.4">
      <c r="A30" s="13" t="s">
        <v>249</v>
      </c>
      <c r="B30" s="16">
        <v>42</v>
      </c>
      <c r="C30" s="16">
        <v>0.26200000000000001</v>
      </c>
      <c r="D30" s="16">
        <v>0.245</v>
      </c>
      <c r="E30" s="16">
        <v>77.7</v>
      </c>
      <c r="F30" s="11">
        <v>1</v>
      </c>
      <c r="G30" s="18">
        <v>0</v>
      </c>
    </row>
    <row r="31" spans="1:7" ht="15" thickBot="1" x14ac:dyDescent="0.4">
      <c r="A31" s="13" t="s">
        <v>167</v>
      </c>
      <c r="B31" s="16">
        <v>78</v>
      </c>
      <c r="C31" s="16">
        <v>0.218</v>
      </c>
      <c r="D31" s="16">
        <v>0.20200000000000001</v>
      </c>
      <c r="E31" s="16">
        <v>84.2</v>
      </c>
      <c r="F31" s="11">
        <v>1</v>
      </c>
      <c r="G31" s="18">
        <v>1</v>
      </c>
    </row>
    <row r="32" spans="1:7" ht="15" thickBot="1" x14ac:dyDescent="0.4">
      <c r="A32" s="13" t="s">
        <v>142</v>
      </c>
      <c r="B32" s="16">
        <v>79</v>
      </c>
      <c r="C32" s="16">
        <v>0.25</v>
      </c>
      <c r="D32" s="16">
        <v>0.23699999999999999</v>
      </c>
      <c r="E32" s="16">
        <v>84.1</v>
      </c>
      <c r="F32" s="11">
        <v>1</v>
      </c>
      <c r="G32" s="18">
        <v>1</v>
      </c>
    </row>
    <row r="33" spans="1:7" ht="15" thickBot="1" x14ac:dyDescent="0.4">
      <c r="A33" s="13" t="s">
        <v>250</v>
      </c>
      <c r="B33" s="16">
        <v>38</v>
      </c>
      <c r="C33" s="16">
        <v>0.21099999999999999</v>
      </c>
      <c r="D33" s="16">
        <v>0.20799999999999999</v>
      </c>
      <c r="E33" s="16">
        <v>86</v>
      </c>
      <c r="F33" s="11">
        <v>1</v>
      </c>
      <c r="G33" s="18">
        <v>1</v>
      </c>
    </row>
    <row r="34" spans="1:7" ht="15" thickBot="1" x14ac:dyDescent="0.4">
      <c r="A34" s="13" t="s">
        <v>128</v>
      </c>
      <c r="B34" s="16">
        <v>81</v>
      </c>
      <c r="C34" s="16">
        <v>0.25</v>
      </c>
      <c r="D34" s="16">
        <v>0.253</v>
      </c>
      <c r="E34" s="16">
        <v>81.599999999999994</v>
      </c>
      <c r="F34" s="11">
        <v>1</v>
      </c>
      <c r="G34" s="18">
        <v>1</v>
      </c>
    </row>
    <row r="35" spans="1:7" ht="15" thickBot="1" x14ac:dyDescent="0.4">
      <c r="A35" s="13" t="s">
        <v>251</v>
      </c>
      <c r="B35" s="16">
        <v>43</v>
      </c>
      <c r="C35" s="16">
        <v>0.23300000000000001</v>
      </c>
      <c r="D35" s="16">
        <v>0.23699999999999999</v>
      </c>
      <c r="E35" s="16">
        <v>88.5</v>
      </c>
      <c r="F35" s="11">
        <v>1</v>
      </c>
      <c r="G35" s="18">
        <v>0</v>
      </c>
    </row>
    <row r="36" spans="1:7" ht="15" thickBot="1" x14ac:dyDescent="0.4">
      <c r="A36" s="13" t="s">
        <v>152</v>
      </c>
      <c r="B36" s="16">
        <v>98</v>
      </c>
      <c r="C36" s="16">
        <v>0.245</v>
      </c>
      <c r="D36" s="16">
        <v>0.249</v>
      </c>
      <c r="E36" s="16">
        <v>87.2</v>
      </c>
      <c r="F36" s="11">
        <v>1</v>
      </c>
      <c r="G36" s="18">
        <v>1</v>
      </c>
    </row>
    <row r="37" spans="1:7" ht="15" thickBot="1" x14ac:dyDescent="0.4">
      <c r="A37" s="13" t="s">
        <v>252</v>
      </c>
      <c r="B37" s="16">
        <v>47</v>
      </c>
      <c r="C37" s="16">
        <v>0.255</v>
      </c>
      <c r="D37" s="16">
        <v>0.26</v>
      </c>
      <c r="E37" s="16">
        <v>80.599999999999994</v>
      </c>
      <c r="F37" s="11">
        <v>1</v>
      </c>
      <c r="G37" s="18">
        <v>1</v>
      </c>
    </row>
    <row r="38" spans="1:7" ht="15" thickBot="1" x14ac:dyDescent="0.4">
      <c r="A38" s="13" t="s">
        <v>127</v>
      </c>
      <c r="B38" s="16">
        <v>91</v>
      </c>
      <c r="C38" s="16">
        <v>0.24199999999999999</v>
      </c>
      <c r="D38" s="16">
        <v>0.25</v>
      </c>
      <c r="E38" s="16">
        <v>84.5</v>
      </c>
      <c r="F38" s="11">
        <v>1</v>
      </c>
      <c r="G38" s="18">
        <v>0</v>
      </c>
    </row>
    <row r="39" spans="1:7" ht="15" thickBot="1" x14ac:dyDescent="0.4">
      <c r="A39" s="13" t="s">
        <v>253</v>
      </c>
      <c r="B39" s="16">
        <v>31</v>
      </c>
      <c r="C39" s="16">
        <v>0.22600000000000001</v>
      </c>
      <c r="D39" s="16">
        <v>0.23499999999999999</v>
      </c>
      <c r="E39" s="16">
        <v>82.8</v>
      </c>
      <c r="F39" s="11">
        <v>1</v>
      </c>
      <c r="G39" s="18">
        <v>0</v>
      </c>
    </row>
    <row r="40" spans="1:7" ht="15" thickBot="1" x14ac:dyDescent="0.4">
      <c r="A40" s="13" t="s">
        <v>254</v>
      </c>
      <c r="B40" s="16">
        <v>49</v>
      </c>
      <c r="C40" s="16">
        <v>0.245</v>
      </c>
      <c r="D40" s="16">
        <v>0.254</v>
      </c>
      <c r="E40" s="16">
        <v>90.5</v>
      </c>
      <c r="F40" s="11">
        <v>1</v>
      </c>
      <c r="G40" s="18">
        <v>1</v>
      </c>
    </row>
    <row r="41" spans="1:7" ht="15" thickBot="1" x14ac:dyDescent="0.4">
      <c r="A41" s="13" t="s">
        <v>135</v>
      </c>
      <c r="B41" s="16">
        <v>98</v>
      </c>
      <c r="C41" s="16">
        <v>0.245</v>
      </c>
      <c r="D41" s="16">
        <v>0.25600000000000001</v>
      </c>
      <c r="E41" s="16">
        <v>88.2</v>
      </c>
      <c r="F41" s="11">
        <v>1</v>
      </c>
      <c r="G41" s="18">
        <v>0</v>
      </c>
    </row>
    <row r="42" spans="1:7" ht="15" thickBot="1" x14ac:dyDescent="0.4">
      <c r="A42" s="13" t="s">
        <v>255</v>
      </c>
      <c r="B42" s="16">
        <v>44</v>
      </c>
      <c r="C42" s="16">
        <v>0.20899999999999999</v>
      </c>
      <c r="D42" s="16">
        <v>0.221</v>
      </c>
      <c r="E42" s="16">
        <v>80</v>
      </c>
      <c r="F42" s="11">
        <v>1</v>
      </c>
      <c r="G42" s="18">
        <v>1</v>
      </c>
    </row>
    <row r="43" spans="1:7" ht="15" thickBot="1" x14ac:dyDescent="0.4">
      <c r="A43" s="13" t="s">
        <v>125</v>
      </c>
      <c r="B43" s="16">
        <v>94</v>
      </c>
      <c r="C43" s="16">
        <v>0.23400000000000001</v>
      </c>
      <c r="D43" s="16">
        <v>0.246</v>
      </c>
      <c r="E43" s="16">
        <v>86.7</v>
      </c>
      <c r="F43" s="11">
        <v>1</v>
      </c>
      <c r="G43" s="18">
        <v>1</v>
      </c>
    </row>
    <row r="44" spans="1:7" ht="15" thickBot="1" x14ac:dyDescent="0.4">
      <c r="A44" s="13" t="s">
        <v>210</v>
      </c>
      <c r="B44" s="16">
        <v>70</v>
      </c>
      <c r="C44" s="16">
        <v>0.2</v>
      </c>
      <c r="D44" s="16">
        <v>0.214</v>
      </c>
      <c r="E44" s="16">
        <v>84.7</v>
      </c>
      <c r="F44" s="11">
        <v>1</v>
      </c>
      <c r="G44" s="18">
        <v>1</v>
      </c>
    </row>
    <row r="45" spans="1:7" ht="15" thickBot="1" x14ac:dyDescent="0.4">
      <c r="A45" s="13" t="s">
        <v>256</v>
      </c>
      <c r="B45" s="16">
        <v>30</v>
      </c>
      <c r="C45" s="16">
        <v>0.23300000000000001</v>
      </c>
      <c r="D45" s="16">
        <v>0.249</v>
      </c>
      <c r="E45" s="16">
        <v>91.1</v>
      </c>
      <c r="F45" s="11">
        <v>1</v>
      </c>
      <c r="G45" s="18">
        <v>1</v>
      </c>
    </row>
    <row r="46" spans="1:7" ht="15" thickBot="1" x14ac:dyDescent="0.4">
      <c r="A46" s="13" t="s">
        <v>166</v>
      </c>
      <c r="B46" s="16">
        <v>162</v>
      </c>
      <c r="C46" s="16">
        <v>0.253</v>
      </c>
      <c r="D46" s="16">
        <v>0.26900000000000002</v>
      </c>
      <c r="E46" s="16">
        <v>88.1</v>
      </c>
      <c r="F46" s="11">
        <v>1</v>
      </c>
      <c r="G46" s="18">
        <v>1</v>
      </c>
    </row>
    <row r="47" spans="1:7" ht="15" thickBot="1" x14ac:dyDescent="0.4">
      <c r="A47" s="13" t="s">
        <v>119</v>
      </c>
      <c r="B47" s="16">
        <v>97</v>
      </c>
      <c r="C47" s="16">
        <v>0.216</v>
      </c>
      <c r="D47" s="16">
        <v>0.23200000000000001</v>
      </c>
      <c r="E47" s="16">
        <v>82.1</v>
      </c>
      <c r="F47" s="11">
        <v>1</v>
      </c>
      <c r="G47" s="18">
        <v>1</v>
      </c>
    </row>
    <row r="48" spans="1:7" ht="15" thickBot="1" x14ac:dyDescent="0.4">
      <c r="A48" s="13" t="s">
        <v>257</v>
      </c>
      <c r="B48" s="16">
        <v>33</v>
      </c>
      <c r="C48" s="16">
        <v>0.24199999999999999</v>
      </c>
      <c r="D48" s="16">
        <v>0.26</v>
      </c>
      <c r="E48" s="16">
        <v>86</v>
      </c>
      <c r="F48" s="11">
        <v>1</v>
      </c>
      <c r="G48" s="18">
        <v>0</v>
      </c>
    </row>
    <row r="49" spans="1:7" ht="15" thickBot="1" x14ac:dyDescent="0.4">
      <c r="A49" s="13" t="s">
        <v>141</v>
      </c>
      <c r="B49" s="16">
        <v>53</v>
      </c>
      <c r="C49" s="16">
        <v>0.192</v>
      </c>
      <c r="D49" s="16">
        <v>0.21</v>
      </c>
      <c r="E49" s="16">
        <v>81.2</v>
      </c>
      <c r="F49" s="11">
        <v>1</v>
      </c>
      <c r="G49" s="18">
        <v>0</v>
      </c>
    </row>
    <row r="50" spans="1:7" ht="15" thickBot="1" x14ac:dyDescent="0.4">
      <c r="A50" s="13" t="s">
        <v>132</v>
      </c>
      <c r="B50" s="16">
        <v>72</v>
      </c>
      <c r="C50" s="16">
        <v>0.222</v>
      </c>
      <c r="D50" s="16">
        <v>0.246</v>
      </c>
      <c r="E50" s="16">
        <v>83.5</v>
      </c>
      <c r="F50" s="11">
        <v>1</v>
      </c>
      <c r="G50" s="18">
        <v>1</v>
      </c>
    </row>
    <row r="51" spans="1:7" ht="15" thickBot="1" x14ac:dyDescent="0.4">
      <c r="A51" s="13" t="s">
        <v>136</v>
      </c>
      <c r="B51" s="16">
        <v>83</v>
      </c>
      <c r="C51" s="16">
        <v>0.19800000000000001</v>
      </c>
      <c r="D51" s="16">
        <v>0.222</v>
      </c>
      <c r="E51" s="16">
        <v>81.599999999999994</v>
      </c>
      <c r="F51" s="11">
        <v>1</v>
      </c>
      <c r="G51" s="18">
        <v>1</v>
      </c>
    </row>
    <row r="52" spans="1:7" ht="15" thickBot="1" x14ac:dyDescent="0.4">
      <c r="A52" s="13" t="s">
        <v>158</v>
      </c>
      <c r="B52" s="16">
        <v>121</v>
      </c>
      <c r="C52" s="16">
        <v>0.23100000000000001</v>
      </c>
      <c r="D52" s="16">
        <v>0.25800000000000001</v>
      </c>
      <c r="E52" s="16">
        <v>87.7</v>
      </c>
      <c r="F52" s="11">
        <v>1</v>
      </c>
      <c r="G52" s="18">
        <v>0</v>
      </c>
    </row>
    <row r="53" spans="1:7" ht="15" thickBot="1" x14ac:dyDescent="0.4">
      <c r="A53" s="13" t="s">
        <v>168</v>
      </c>
      <c r="B53" s="16">
        <v>110</v>
      </c>
      <c r="C53" s="16">
        <v>0.157</v>
      </c>
      <c r="D53" s="16">
        <v>0.187</v>
      </c>
      <c r="E53" s="16">
        <v>77.900000000000006</v>
      </c>
      <c r="F53" s="11">
        <v>1</v>
      </c>
      <c r="G53" s="18">
        <v>1</v>
      </c>
    </row>
    <row r="54" spans="1:7" ht="15" thickBot="1" x14ac:dyDescent="0.4">
      <c r="A54" s="13" t="s">
        <v>160</v>
      </c>
      <c r="B54" s="16">
        <v>83</v>
      </c>
      <c r="C54" s="16">
        <v>0.217</v>
      </c>
      <c r="D54" s="16">
        <v>0.248</v>
      </c>
      <c r="E54" s="16">
        <v>86.5</v>
      </c>
      <c r="F54" s="11">
        <v>1</v>
      </c>
      <c r="G54" s="18">
        <v>0</v>
      </c>
    </row>
    <row r="55" spans="1:7" ht="15" thickBot="1" x14ac:dyDescent="0.4">
      <c r="A55" s="13" t="s">
        <v>258</v>
      </c>
      <c r="B55" s="16">
        <v>49</v>
      </c>
      <c r="C55" s="16">
        <v>0.20399999999999999</v>
      </c>
      <c r="D55" s="16">
        <v>0.23699999999999999</v>
      </c>
      <c r="E55" s="16">
        <v>89.5</v>
      </c>
      <c r="F55" s="11">
        <v>1</v>
      </c>
      <c r="G55" s="18">
        <v>0</v>
      </c>
    </row>
    <row r="56" spans="1:7" ht="15" thickBot="1" x14ac:dyDescent="0.4">
      <c r="A56" s="13" t="s">
        <v>113</v>
      </c>
      <c r="B56" s="16">
        <v>78</v>
      </c>
      <c r="C56" s="16">
        <v>0.25600000000000001</v>
      </c>
      <c r="D56" s="16">
        <v>0.28999999999999998</v>
      </c>
      <c r="E56" s="16">
        <v>87.7</v>
      </c>
      <c r="F56" s="11">
        <v>1</v>
      </c>
      <c r="G56" s="18">
        <v>0</v>
      </c>
    </row>
    <row r="57" spans="1:7" ht="15" thickBot="1" x14ac:dyDescent="0.4">
      <c r="A57" s="13" t="s">
        <v>169</v>
      </c>
      <c r="B57" s="16">
        <v>61</v>
      </c>
      <c r="C57" s="16">
        <v>0.21299999999999999</v>
      </c>
      <c r="D57" s="16">
        <v>0.248</v>
      </c>
      <c r="E57" s="16">
        <v>85.2</v>
      </c>
      <c r="F57" s="11">
        <v>1</v>
      </c>
      <c r="G57" s="18">
        <v>0</v>
      </c>
    </row>
    <row r="58" spans="1:7" ht="15" thickBot="1" x14ac:dyDescent="0.4">
      <c r="A58" s="13" t="s">
        <v>130</v>
      </c>
      <c r="B58" s="16">
        <v>91</v>
      </c>
      <c r="C58" s="16">
        <v>0.22</v>
      </c>
      <c r="D58" s="16">
        <v>0.25700000000000001</v>
      </c>
      <c r="E58" s="16">
        <v>90.7</v>
      </c>
      <c r="F58" s="11">
        <v>1</v>
      </c>
      <c r="G58" s="18">
        <v>1</v>
      </c>
    </row>
    <row r="59" spans="1:7" ht="15" thickBot="1" x14ac:dyDescent="0.4">
      <c r="A59" s="13" t="s">
        <v>139</v>
      </c>
      <c r="B59" s="16">
        <v>140</v>
      </c>
      <c r="C59" s="16">
        <v>0.221</v>
      </c>
      <c r="D59" s="16">
        <v>0.26</v>
      </c>
      <c r="E59" s="16">
        <v>87.7</v>
      </c>
      <c r="F59" s="11">
        <v>1</v>
      </c>
      <c r="G59" s="18">
        <v>1</v>
      </c>
    </row>
    <row r="60" spans="1:7" ht="15" thickBot="1" x14ac:dyDescent="0.4">
      <c r="A60" s="13" t="s">
        <v>259</v>
      </c>
      <c r="B60" s="16">
        <v>31</v>
      </c>
      <c r="C60" s="16">
        <v>0.161</v>
      </c>
      <c r="D60" s="16">
        <v>0.2</v>
      </c>
      <c r="E60" s="16">
        <v>83.3</v>
      </c>
      <c r="F60" s="11">
        <v>1</v>
      </c>
      <c r="G60" s="18">
        <v>0</v>
      </c>
    </row>
    <row r="61" spans="1:7" ht="15" thickBot="1" x14ac:dyDescent="0.4">
      <c r="A61" s="13" t="s">
        <v>260</v>
      </c>
      <c r="B61" s="16">
        <v>39</v>
      </c>
      <c r="C61" s="16">
        <v>0.17899999999999999</v>
      </c>
      <c r="D61" s="16">
        <v>0.222</v>
      </c>
      <c r="E61" s="16">
        <v>90.8</v>
      </c>
      <c r="F61" s="11">
        <v>1</v>
      </c>
      <c r="G61" s="18">
        <v>0</v>
      </c>
    </row>
    <row r="62" spans="1:7" ht="15" thickBot="1" x14ac:dyDescent="0.4">
      <c r="A62" s="13" t="s">
        <v>214</v>
      </c>
      <c r="B62" s="16">
        <v>54</v>
      </c>
      <c r="C62" s="16">
        <v>0.222</v>
      </c>
      <c r="D62" s="16">
        <v>0.26500000000000001</v>
      </c>
      <c r="E62" s="16">
        <v>88.9</v>
      </c>
      <c r="F62" s="11">
        <v>1</v>
      </c>
      <c r="G62" s="18">
        <v>1</v>
      </c>
    </row>
    <row r="63" spans="1:7" ht="15" thickBot="1" x14ac:dyDescent="0.4">
      <c r="A63" s="13" t="s">
        <v>145</v>
      </c>
      <c r="B63" s="16">
        <v>92</v>
      </c>
      <c r="C63" s="16">
        <v>0.222</v>
      </c>
      <c r="D63" s="16">
        <v>0.26600000000000001</v>
      </c>
      <c r="E63" s="16">
        <v>80.5</v>
      </c>
      <c r="F63" s="11">
        <v>1</v>
      </c>
      <c r="G63" s="18">
        <v>0</v>
      </c>
    </row>
    <row r="64" spans="1:7" ht="15" thickBot="1" x14ac:dyDescent="0.4">
      <c r="A64" s="13" t="s">
        <v>137</v>
      </c>
      <c r="B64" s="16">
        <v>143</v>
      </c>
      <c r="C64" s="16">
        <v>0.23100000000000001</v>
      </c>
      <c r="D64" s="16">
        <v>0.27600000000000002</v>
      </c>
      <c r="E64" s="16">
        <v>90.2</v>
      </c>
      <c r="F64" s="11">
        <v>1</v>
      </c>
      <c r="G64" s="18">
        <v>0</v>
      </c>
    </row>
    <row r="65" spans="1:7" ht="15" thickBot="1" x14ac:dyDescent="0.4">
      <c r="A65" s="13" t="s">
        <v>261</v>
      </c>
      <c r="B65" s="16">
        <v>33</v>
      </c>
      <c r="C65" s="16">
        <v>0.21199999999999999</v>
      </c>
      <c r="D65" s="16">
        <v>0.25700000000000001</v>
      </c>
      <c r="E65" s="16">
        <v>91.6</v>
      </c>
      <c r="F65" s="11">
        <v>1</v>
      </c>
      <c r="G65" s="18">
        <v>1</v>
      </c>
    </row>
    <row r="66" spans="1:7" ht="15" thickBot="1" x14ac:dyDescent="0.4">
      <c r="A66" s="13" t="s">
        <v>262</v>
      </c>
      <c r="B66" s="16">
        <v>44</v>
      </c>
      <c r="C66" s="16">
        <v>0.20499999999999999</v>
      </c>
      <c r="D66" s="16">
        <v>0.251</v>
      </c>
      <c r="E66" s="16">
        <v>87.5</v>
      </c>
      <c r="F66" s="11">
        <v>1</v>
      </c>
      <c r="G66" s="18">
        <v>1</v>
      </c>
    </row>
    <row r="67" spans="1:7" ht="15" thickBot="1" x14ac:dyDescent="0.4">
      <c r="A67" s="13" t="s">
        <v>263</v>
      </c>
      <c r="B67" s="16">
        <v>49</v>
      </c>
      <c r="C67" s="16">
        <v>0.16700000000000001</v>
      </c>
      <c r="D67" s="16">
        <v>0.21299999999999999</v>
      </c>
      <c r="E67" s="16">
        <v>83.9</v>
      </c>
      <c r="F67" s="11">
        <v>1</v>
      </c>
      <c r="G67" s="18">
        <v>1</v>
      </c>
    </row>
    <row r="68" spans="1:7" ht="15" thickBot="1" x14ac:dyDescent="0.4">
      <c r="A68" s="13" t="s">
        <v>264</v>
      </c>
      <c r="B68" s="16">
        <v>47</v>
      </c>
      <c r="C68" s="16">
        <v>0.17399999999999999</v>
      </c>
      <c r="D68" s="16">
        <v>0.221</v>
      </c>
      <c r="E68" s="16">
        <v>79.599999999999994</v>
      </c>
      <c r="F68" s="11">
        <v>1</v>
      </c>
      <c r="G68" s="18">
        <v>0</v>
      </c>
    </row>
    <row r="69" spans="1:7" ht="15" thickBot="1" x14ac:dyDescent="0.4">
      <c r="A69" s="13" t="s">
        <v>265</v>
      </c>
      <c r="B69" s="16">
        <v>30</v>
      </c>
      <c r="C69" s="16">
        <v>0.23300000000000001</v>
      </c>
      <c r="D69" s="16">
        <v>0.28199999999999997</v>
      </c>
      <c r="E69" s="16">
        <v>80</v>
      </c>
      <c r="F69" s="11">
        <v>1</v>
      </c>
      <c r="G69" s="18">
        <v>0</v>
      </c>
    </row>
    <row r="70" spans="1:7" ht="15" thickBot="1" x14ac:dyDescent="0.4">
      <c r="A70" s="13" t="s">
        <v>110</v>
      </c>
      <c r="B70" s="16">
        <v>87</v>
      </c>
      <c r="C70" s="16">
        <v>0.184</v>
      </c>
      <c r="D70" s="16">
        <v>0.23400000000000001</v>
      </c>
      <c r="E70" s="16">
        <v>82.5</v>
      </c>
      <c r="F70" s="11">
        <v>1</v>
      </c>
      <c r="G70" s="18">
        <v>0</v>
      </c>
    </row>
    <row r="71" spans="1:7" ht="15" thickBot="1" x14ac:dyDescent="0.4">
      <c r="A71" s="13" t="s">
        <v>218</v>
      </c>
      <c r="B71" s="16">
        <v>51</v>
      </c>
      <c r="C71" s="16">
        <v>0.157</v>
      </c>
      <c r="D71" s="16">
        <v>0.20799999999999999</v>
      </c>
      <c r="E71" s="16">
        <v>84.5</v>
      </c>
      <c r="F71" s="11">
        <v>1</v>
      </c>
      <c r="G71" s="18">
        <v>0</v>
      </c>
    </row>
    <row r="72" spans="1:7" ht="15" thickBot="1" x14ac:dyDescent="0.4">
      <c r="A72" s="13" t="s">
        <v>266</v>
      </c>
      <c r="B72" s="16">
        <v>38</v>
      </c>
      <c r="C72" s="16">
        <v>0.21099999999999999</v>
      </c>
      <c r="D72" s="16">
        <v>0.26300000000000001</v>
      </c>
      <c r="E72" s="16">
        <v>84.2</v>
      </c>
      <c r="F72" s="11">
        <v>1</v>
      </c>
      <c r="G72" s="18">
        <v>0</v>
      </c>
    </row>
    <row r="73" spans="1:7" ht="15" thickBot="1" x14ac:dyDescent="0.4">
      <c r="A73" s="13" t="s">
        <v>267</v>
      </c>
      <c r="B73" s="16">
        <v>34</v>
      </c>
      <c r="C73" s="16">
        <v>0.20599999999999999</v>
      </c>
      <c r="D73" s="16">
        <v>0.25800000000000001</v>
      </c>
      <c r="E73" s="16">
        <v>87.6</v>
      </c>
      <c r="F73" s="11">
        <v>1</v>
      </c>
      <c r="G73" s="18">
        <v>0</v>
      </c>
    </row>
    <row r="74" spans="1:7" ht="15" thickBot="1" x14ac:dyDescent="0.4">
      <c r="A74" s="13" t="s">
        <v>268</v>
      </c>
      <c r="B74" s="16">
        <v>47</v>
      </c>
      <c r="C74" s="16">
        <v>0.128</v>
      </c>
      <c r="D74" s="16">
        <v>0.18</v>
      </c>
      <c r="E74" s="16">
        <v>85.1</v>
      </c>
      <c r="F74" s="11">
        <v>1</v>
      </c>
      <c r="G74" s="18">
        <v>0</v>
      </c>
    </row>
    <row r="75" spans="1:7" ht="15" thickBot="1" x14ac:dyDescent="0.4">
      <c r="A75" s="13" t="s">
        <v>133</v>
      </c>
      <c r="B75" s="16">
        <v>136</v>
      </c>
      <c r="C75" s="16">
        <v>0.19700000000000001</v>
      </c>
      <c r="D75" s="16">
        <v>0.253</v>
      </c>
      <c r="E75" s="16">
        <v>80.7</v>
      </c>
      <c r="F75" s="11">
        <v>1</v>
      </c>
      <c r="G75" s="18">
        <v>0</v>
      </c>
    </row>
    <row r="76" spans="1:7" ht="15" thickBot="1" x14ac:dyDescent="0.4">
      <c r="A76" s="13" t="s">
        <v>269</v>
      </c>
      <c r="B76" s="16">
        <v>37</v>
      </c>
      <c r="C76" s="16">
        <v>0.13500000000000001</v>
      </c>
      <c r="D76" s="16">
        <v>0.191</v>
      </c>
      <c r="E76" s="16">
        <v>82</v>
      </c>
      <c r="F76" s="11">
        <v>1</v>
      </c>
      <c r="G76" s="18">
        <v>0</v>
      </c>
    </row>
    <row r="77" spans="1:7" ht="15" thickBot="1" x14ac:dyDescent="0.4">
      <c r="A77" s="13" t="s">
        <v>140</v>
      </c>
      <c r="B77" s="16">
        <v>57</v>
      </c>
      <c r="C77" s="16">
        <v>0.22800000000000001</v>
      </c>
      <c r="D77" s="16">
        <v>0.28499999999999998</v>
      </c>
      <c r="E77" s="16">
        <v>85</v>
      </c>
      <c r="F77" s="11">
        <v>1</v>
      </c>
      <c r="G77" s="18">
        <v>1</v>
      </c>
    </row>
    <row r="78" spans="1:7" ht="15" thickBot="1" x14ac:dyDescent="0.4">
      <c r="A78" s="13" t="s">
        <v>164</v>
      </c>
      <c r="B78" s="16">
        <v>96</v>
      </c>
      <c r="C78" s="16">
        <v>0.19800000000000001</v>
      </c>
      <c r="D78" s="16">
        <v>0.25800000000000001</v>
      </c>
      <c r="E78" s="16">
        <v>88.3</v>
      </c>
      <c r="F78" s="11">
        <v>1</v>
      </c>
      <c r="G78" s="18">
        <v>0</v>
      </c>
    </row>
    <row r="79" spans="1:7" ht="15" thickBot="1" x14ac:dyDescent="0.4">
      <c r="A79" s="13" t="s">
        <v>124</v>
      </c>
      <c r="B79" s="16">
        <v>97</v>
      </c>
      <c r="C79" s="16">
        <v>0.17499999999999999</v>
      </c>
      <c r="D79" s="16">
        <v>0.23499999999999999</v>
      </c>
      <c r="E79" s="16">
        <v>86.1</v>
      </c>
      <c r="F79" s="11">
        <v>1</v>
      </c>
      <c r="G79" s="18">
        <v>1</v>
      </c>
    </row>
    <row r="80" spans="1:7" ht="15" thickBot="1" x14ac:dyDescent="0.4">
      <c r="A80" s="13" t="s">
        <v>150</v>
      </c>
      <c r="B80" s="16">
        <v>88</v>
      </c>
      <c r="C80" s="16">
        <v>0.182</v>
      </c>
      <c r="D80" s="16">
        <v>0.24299999999999999</v>
      </c>
      <c r="E80" s="16">
        <v>84.5</v>
      </c>
      <c r="F80" s="11">
        <v>1</v>
      </c>
      <c r="G80" s="18">
        <v>0</v>
      </c>
    </row>
    <row r="81" spans="1:7" ht="15" thickBot="1" x14ac:dyDescent="0.4">
      <c r="A81" s="13" t="s">
        <v>270</v>
      </c>
      <c r="B81" s="16">
        <v>31</v>
      </c>
      <c r="C81" s="16">
        <v>0.19400000000000001</v>
      </c>
      <c r="D81" s="16">
        <v>0.25600000000000001</v>
      </c>
      <c r="E81" s="16">
        <v>87.4</v>
      </c>
      <c r="F81" s="11">
        <v>1</v>
      </c>
      <c r="G81" s="18">
        <v>1</v>
      </c>
    </row>
    <row r="82" spans="1:7" ht="15" thickBot="1" x14ac:dyDescent="0.4">
      <c r="A82" s="13" t="s">
        <v>271</v>
      </c>
      <c r="B82" s="16">
        <v>38</v>
      </c>
      <c r="C82" s="16">
        <v>0.13200000000000001</v>
      </c>
      <c r="D82" s="16">
        <v>0.19500000000000001</v>
      </c>
      <c r="E82" s="16">
        <v>84.1</v>
      </c>
      <c r="F82" s="11">
        <v>1</v>
      </c>
      <c r="G82" s="18">
        <v>0</v>
      </c>
    </row>
    <row r="83" spans="1:7" ht="15" thickBot="1" x14ac:dyDescent="0.4">
      <c r="A83" s="13" t="s">
        <v>272</v>
      </c>
      <c r="B83" s="16">
        <v>47</v>
      </c>
      <c r="C83" s="16">
        <v>0.17</v>
      </c>
      <c r="D83" s="16">
        <v>0.23400000000000001</v>
      </c>
      <c r="E83" s="16">
        <v>87</v>
      </c>
      <c r="F83" s="11">
        <v>1</v>
      </c>
      <c r="G83" s="18">
        <v>1</v>
      </c>
    </row>
    <row r="84" spans="1:7" ht="15" thickBot="1" x14ac:dyDescent="0.4">
      <c r="A84" s="13" t="s">
        <v>273</v>
      </c>
      <c r="B84" s="16">
        <v>30</v>
      </c>
      <c r="C84" s="16">
        <v>0.20699999999999999</v>
      </c>
      <c r="D84" s="16">
        <v>0.27200000000000002</v>
      </c>
      <c r="E84" s="16">
        <v>80.3</v>
      </c>
      <c r="F84" s="11">
        <v>1</v>
      </c>
      <c r="G84" s="18">
        <v>0</v>
      </c>
    </row>
    <row r="85" spans="1:7" ht="15" thickBot="1" x14ac:dyDescent="0.4">
      <c r="A85" s="13" t="s">
        <v>117</v>
      </c>
      <c r="B85" s="16">
        <v>64</v>
      </c>
      <c r="C85" s="16">
        <v>0.17199999999999999</v>
      </c>
      <c r="D85" s="16">
        <v>0.23699999999999999</v>
      </c>
      <c r="E85" s="16">
        <v>84</v>
      </c>
      <c r="F85" s="11">
        <v>1</v>
      </c>
      <c r="G85" s="18">
        <v>1</v>
      </c>
    </row>
    <row r="86" spans="1:7" ht="15" thickBot="1" x14ac:dyDescent="0.4">
      <c r="A86" s="13" t="s">
        <v>147</v>
      </c>
      <c r="B86" s="16">
        <v>77</v>
      </c>
      <c r="C86" s="16">
        <v>0.19500000000000001</v>
      </c>
      <c r="D86" s="16">
        <v>0.26100000000000001</v>
      </c>
      <c r="E86" s="16">
        <v>88.6</v>
      </c>
      <c r="F86" s="11">
        <v>1</v>
      </c>
      <c r="G86" s="18">
        <v>0</v>
      </c>
    </row>
    <row r="87" spans="1:7" ht="15" thickBot="1" x14ac:dyDescent="0.4">
      <c r="A87" s="13" t="s">
        <v>226</v>
      </c>
      <c r="B87" s="16">
        <v>53</v>
      </c>
      <c r="C87" s="16">
        <v>0.20799999999999999</v>
      </c>
      <c r="D87" s="16">
        <v>0.27600000000000002</v>
      </c>
      <c r="E87" s="16">
        <v>86.9</v>
      </c>
      <c r="F87" s="11">
        <v>1</v>
      </c>
      <c r="G87" s="18">
        <v>0</v>
      </c>
    </row>
    <row r="88" spans="1:7" ht="15" thickBot="1" x14ac:dyDescent="0.4">
      <c r="A88" s="13" t="s">
        <v>224</v>
      </c>
      <c r="B88" s="16">
        <v>40</v>
      </c>
      <c r="C88" s="16">
        <v>0.2</v>
      </c>
      <c r="D88" s="16">
        <v>0.26800000000000002</v>
      </c>
      <c r="E88" s="16">
        <v>84.6</v>
      </c>
      <c r="F88" s="11">
        <v>1</v>
      </c>
      <c r="G88" s="18">
        <v>0</v>
      </c>
    </row>
    <row r="89" spans="1:7" ht="15" thickBot="1" x14ac:dyDescent="0.4">
      <c r="A89" s="13" t="s">
        <v>229</v>
      </c>
      <c r="B89" s="16">
        <v>60</v>
      </c>
      <c r="C89" s="16">
        <v>0.183</v>
      </c>
      <c r="D89" s="16">
        <v>0.251</v>
      </c>
      <c r="E89" s="16">
        <v>84.2</v>
      </c>
      <c r="F89" s="11">
        <v>1</v>
      </c>
      <c r="G89" s="18">
        <v>0</v>
      </c>
    </row>
    <row r="90" spans="1:7" ht="15" thickBot="1" x14ac:dyDescent="0.4">
      <c r="A90" s="13" t="s">
        <v>112</v>
      </c>
      <c r="B90" s="16">
        <v>62</v>
      </c>
      <c r="C90" s="16">
        <v>0.129</v>
      </c>
      <c r="D90" s="16">
        <v>0.19800000000000001</v>
      </c>
      <c r="E90" s="16">
        <v>78.8</v>
      </c>
      <c r="F90" s="11">
        <v>1</v>
      </c>
      <c r="G90" s="18">
        <v>1</v>
      </c>
    </row>
    <row r="91" spans="1:7" ht="15" thickBot="1" x14ac:dyDescent="0.4">
      <c r="A91" s="13" t="s">
        <v>274</v>
      </c>
      <c r="B91" s="16">
        <v>30</v>
      </c>
      <c r="C91" s="16">
        <v>0.23300000000000001</v>
      </c>
      <c r="D91" s="16">
        <v>0.30299999999999999</v>
      </c>
      <c r="E91" s="16">
        <v>88.3</v>
      </c>
      <c r="F91" s="11">
        <v>1</v>
      </c>
      <c r="G91" s="18">
        <v>1</v>
      </c>
    </row>
    <row r="92" spans="1:7" ht="15" thickBot="1" x14ac:dyDescent="0.4">
      <c r="A92" s="13" t="s">
        <v>275</v>
      </c>
      <c r="B92" s="16">
        <v>40</v>
      </c>
      <c r="C92" s="16">
        <v>0.15</v>
      </c>
      <c r="D92" s="16">
        <v>0.22</v>
      </c>
      <c r="E92" s="16">
        <v>83.7</v>
      </c>
      <c r="F92" s="11">
        <v>1</v>
      </c>
      <c r="G92" s="18">
        <v>0</v>
      </c>
    </row>
    <row r="93" spans="1:7" ht="15" thickBot="1" x14ac:dyDescent="0.4">
      <c r="A93" s="13" t="s">
        <v>276</v>
      </c>
      <c r="B93" s="16">
        <v>47</v>
      </c>
      <c r="C93" s="16">
        <v>0.14899999999999999</v>
      </c>
      <c r="D93" s="16">
        <v>0.219</v>
      </c>
      <c r="E93" s="16">
        <v>82.3</v>
      </c>
      <c r="F93" s="11">
        <v>1</v>
      </c>
      <c r="G93" s="18">
        <v>0</v>
      </c>
    </row>
    <row r="94" spans="1:7" ht="15" thickBot="1" x14ac:dyDescent="0.4">
      <c r="A94" s="13" t="s">
        <v>138</v>
      </c>
      <c r="B94" s="16">
        <v>115</v>
      </c>
      <c r="C94" s="16">
        <v>0.2</v>
      </c>
      <c r="D94" s="16">
        <v>0.27200000000000002</v>
      </c>
      <c r="E94" s="16">
        <v>84.1</v>
      </c>
      <c r="F94" s="11">
        <v>1</v>
      </c>
      <c r="G94" s="18">
        <v>1</v>
      </c>
    </row>
    <row r="95" spans="1:7" ht="15" thickBot="1" x14ac:dyDescent="0.4">
      <c r="A95" s="13" t="s">
        <v>277</v>
      </c>
      <c r="B95" s="16">
        <v>31</v>
      </c>
      <c r="C95" s="16">
        <v>0.161</v>
      </c>
      <c r="D95" s="16">
        <v>0.23300000000000001</v>
      </c>
      <c r="E95" s="16">
        <v>81.2</v>
      </c>
      <c r="F95" s="11">
        <v>1</v>
      </c>
      <c r="G95" s="18">
        <v>1</v>
      </c>
    </row>
    <row r="96" spans="1:7" ht="15" thickBot="1" x14ac:dyDescent="0.4">
      <c r="A96" s="13" t="s">
        <v>118</v>
      </c>
      <c r="B96" s="16">
        <v>93</v>
      </c>
      <c r="C96" s="16">
        <v>0.183</v>
      </c>
      <c r="D96" s="16">
        <v>0.255</v>
      </c>
      <c r="E96" s="16">
        <v>85.7</v>
      </c>
      <c r="F96" s="11">
        <v>1</v>
      </c>
      <c r="G96" s="18">
        <v>0</v>
      </c>
    </row>
    <row r="97" spans="1:7" ht="15" thickBot="1" x14ac:dyDescent="0.4">
      <c r="A97" s="13" t="s">
        <v>155</v>
      </c>
      <c r="B97" s="16">
        <v>96</v>
      </c>
      <c r="C97" s="16">
        <v>0.16800000000000001</v>
      </c>
      <c r="D97" s="16">
        <v>0.24</v>
      </c>
      <c r="E97" s="16">
        <v>83.7</v>
      </c>
      <c r="F97" s="11">
        <v>1</v>
      </c>
      <c r="G97" s="18">
        <v>0</v>
      </c>
    </row>
    <row r="98" spans="1:7" ht="15" thickBot="1" x14ac:dyDescent="0.4">
      <c r="A98" s="13" t="s">
        <v>146</v>
      </c>
      <c r="B98" s="16">
        <v>46</v>
      </c>
      <c r="C98" s="16">
        <v>0.152</v>
      </c>
      <c r="D98" s="16">
        <v>0.22600000000000001</v>
      </c>
      <c r="E98" s="16">
        <v>83.9</v>
      </c>
      <c r="F98" s="11">
        <v>1</v>
      </c>
      <c r="G98" s="18">
        <v>1</v>
      </c>
    </row>
    <row r="99" spans="1:7" ht="15" thickBot="1" x14ac:dyDescent="0.4">
      <c r="A99" s="13" t="s">
        <v>131</v>
      </c>
      <c r="B99" s="16">
        <v>91</v>
      </c>
      <c r="C99" s="16">
        <v>0.17599999999999999</v>
      </c>
      <c r="D99" s="16">
        <v>0.251</v>
      </c>
      <c r="E99" s="16">
        <v>80.7</v>
      </c>
      <c r="F99" s="11">
        <v>1</v>
      </c>
      <c r="G99" s="18">
        <v>0</v>
      </c>
    </row>
    <row r="100" spans="1:7" ht="15" thickBot="1" x14ac:dyDescent="0.4">
      <c r="A100" s="13" t="s">
        <v>162</v>
      </c>
      <c r="B100" s="16">
        <v>74</v>
      </c>
      <c r="C100" s="16">
        <v>0.13500000000000001</v>
      </c>
      <c r="D100" s="16">
        <v>0.21099999999999999</v>
      </c>
      <c r="E100" s="16">
        <v>80.099999999999994</v>
      </c>
      <c r="F100" s="11">
        <v>1</v>
      </c>
      <c r="G100" s="18">
        <v>0</v>
      </c>
    </row>
    <row r="101" spans="1:7" ht="15" thickBot="1" x14ac:dyDescent="0.4">
      <c r="A101" s="13" t="s">
        <v>156</v>
      </c>
      <c r="B101" s="16">
        <v>120</v>
      </c>
      <c r="C101" s="16">
        <v>0.20799999999999999</v>
      </c>
      <c r="D101" s="16">
        <v>0.28699999999999998</v>
      </c>
      <c r="E101" s="16">
        <v>86.6</v>
      </c>
      <c r="F101" s="11">
        <v>1</v>
      </c>
      <c r="G101" s="18">
        <v>0</v>
      </c>
    </row>
    <row r="102" spans="1:7" ht="15" thickBot="1" x14ac:dyDescent="0.4">
      <c r="A102" s="13" t="s">
        <v>122</v>
      </c>
      <c r="B102" s="16">
        <v>143</v>
      </c>
      <c r="C102" s="16">
        <v>0.161</v>
      </c>
      <c r="D102" s="16">
        <v>0.24099999999999999</v>
      </c>
      <c r="E102" s="16">
        <v>87.3</v>
      </c>
      <c r="F102" s="11">
        <v>1</v>
      </c>
      <c r="G102" s="18">
        <v>1</v>
      </c>
    </row>
    <row r="103" spans="1:7" ht="15" thickBot="1" x14ac:dyDescent="0.4">
      <c r="A103" s="13" t="s">
        <v>230</v>
      </c>
      <c r="B103" s="16">
        <v>51</v>
      </c>
      <c r="C103" s="16">
        <v>0.17599999999999999</v>
      </c>
      <c r="D103" s="16">
        <v>0.25700000000000001</v>
      </c>
      <c r="E103" s="16">
        <v>85.5</v>
      </c>
      <c r="F103" s="11">
        <v>1</v>
      </c>
      <c r="G103" s="18">
        <v>0</v>
      </c>
    </row>
    <row r="104" spans="1:7" ht="15" thickBot="1" x14ac:dyDescent="0.4">
      <c r="A104" s="13" t="s">
        <v>159</v>
      </c>
      <c r="B104" s="16">
        <v>55</v>
      </c>
      <c r="C104" s="16">
        <v>0.16400000000000001</v>
      </c>
      <c r="D104" s="16">
        <v>0.247</v>
      </c>
      <c r="E104" s="16">
        <v>80.400000000000006</v>
      </c>
      <c r="F104" s="11">
        <v>1</v>
      </c>
      <c r="G104" s="18">
        <v>0</v>
      </c>
    </row>
    <row r="105" spans="1:7" ht="15" thickBot="1" x14ac:dyDescent="0.4">
      <c r="A105" s="13" t="s">
        <v>163</v>
      </c>
      <c r="B105" s="16">
        <v>77</v>
      </c>
      <c r="C105" s="16">
        <v>0.13</v>
      </c>
      <c r="D105" s="16">
        <v>0.21299999999999999</v>
      </c>
      <c r="E105" s="16">
        <v>84.5</v>
      </c>
      <c r="F105" s="11">
        <v>1</v>
      </c>
      <c r="G105" s="18">
        <v>0</v>
      </c>
    </row>
    <row r="106" spans="1:7" ht="15" thickBot="1" x14ac:dyDescent="0.4">
      <c r="A106" s="13" t="s">
        <v>231</v>
      </c>
      <c r="B106" s="16">
        <v>55</v>
      </c>
      <c r="C106" s="16">
        <v>0.182</v>
      </c>
      <c r="D106" s="16">
        <v>0.26700000000000002</v>
      </c>
      <c r="E106" s="16">
        <v>82.8</v>
      </c>
      <c r="F106" s="11">
        <v>1</v>
      </c>
      <c r="G106" s="18">
        <v>0</v>
      </c>
    </row>
    <row r="107" spans="1:7" ht="15" thickBot="1" x14ac:dyDescent="0.4">
      <c r="A107" s="13" t="s">
        <v>108</v>
      </c>
      <c r="B107" s="16">
        <v>61</v>
      </c>
      <c r="C107" s="16">
        <v>0.16400000000000001</v>
      </c>
      <c r="D107" s="16">
        <v>0.25</v>
      </c>
      <c r="E107" s="16">
        <v>84.3</v>
      </c>
      <c r="F107" s="11">
        <v>1</v>
      </c>
      <c r="G107" s="18">
        <v>1</v>
      </c>
    </row>
    <row r="108" spans="1:7" ht="15" thickBot="1" x14ac:dyDescent="0.4">
      <c r="A108" s="13" t="s">
        <v>278</v>
      </c>
      <c r="B108" s="16">
        <v>37</v>
      </c>
      <c r="C108" s="16">
        <v>0.13500000000000001</v>
      </c>
      <c r="D108" s="16">
        <v>0.221</v>
      </c>
      <c r="E108" s="16">
        <v>81.400000000000006</v>
      </c>
      <c r="F108" s="11">
        <v>1</v>
      </c>
      <c r="G108" s="18">
        <v>0</v>
      </c>
    </row>
    <row r="109" spans="1:7" ht="15" thickBot="1" x14ac:dyDescent="0.4">
      <c r="A109" s="13" t="s">
        <v>279</v>
      </c>
      <c r="B109" s="16">
        <v>37</v>
      </c>
      <c r="C109" s="16">
        <v>0.16700000000000001</v>
      </c>
      <c r="D109" s="16">
        <v>0.254</v>
      </c>
      <c r="E109" s="16">
        <v>83.5</v>
      </c>
      <c r="F109" s="11">
        <v>1</v>
      </c>
      <c r="G109" s="18">
        <v>1</v>
      </c>
    </row>
    <row r="110" spans="1:7" ht="15" thickBot="1" x14ac:dyDescent="0.4">
      <c r="A110" s="13" t="s">
        <v>111</v>
      </c>
      <c r="B110" s="16">
        <v>86</v>
      </c>
      <c r="C110" s="16">
        <v>0.17399999999999999</v>
      </c>
      <c r="D110" s="16">
        <v>0.26200000000000001</v>
      </c>
      <c r="E110" s="16">
        <v>83.5</v>
      </c>
      <c r="F110" s="11">
        <v>1</v>
      </c>
      <c r="G110" s="18">
        <v>0</v>
      </c>
    </row>
    <row r="111" spans="1:7" ht="15" thickBot="1" x14ac:dyDescent="0.4">
      <c r="A111" s="13" t="s">
        <v>280</v>
      </c>
      <c r="B111" s="16">
        <v>41</v>
      </c>
      <c r="C111" s="16">
        <v>0.17100000000000001</v>
      </c>
      <c r="D111" s="16">
        <v>0.26200000000000001</v>
      </c>
      <c r="E111" s="16">
        <v>82.7</v>
      </c>
      <c r="F111" s="11">
        <v>1</v>
      </c>
      <c r="G111" s="18">
        <v>0</v>
      </c>
    </row>
    <row r="112" spans="1:7" ht="15" thickBot="1" x14ac:dyDescent="0.4">
      <c r="A112" s="13" t="s">
        <v>143</v>
      </c>
      <c r="B112" s="16">
        <v>139</v>
      </c>
      <c r="C112" s="16">
        <v>0.16500000000000001</v>
      </c>
      <c r="D112" s="16">
        <v>0.25700000000000001</v>
      </c>
      <c r="E112" s="16">
        <v>86.8</v>
      </c>
      <c r="F112" s="11">
        <v>1</v>
      </c>
      <c r="G112" s="18">
        <v>1</v>
      </c>
    </row>
    <row r="113" spans="1:7" ht="15" thickBot="1" x14ac:dyDescent="0.4">
      <c r="A113" s="13" t="s">
        <v>153</v>
      </c>
      <c r="B113" s="16">
        <v>91</v>
      </c>
      <c r="C113" s="16">
        <v>0.14299999999999999</v>
      </c>
      <c r="D113" s="16">
        <v>0.23799999999999999</v>
      </c>
      <c r="E113" s="16">
        <v>87.3</v>
      </c>
      <c r="F113" s="11">
        <v>1</v>
      </c>
      <c r="G113" s="18">
        <v>1</v>
      </c>
    </row>
    <row r="114" spans="1:7" ht="15" thickBot="1" x14ac:dyDescent="0.4">
      <c r="A114" s="13" t="s">
        <v>134</v>
      </c>
      <c r="B114" s="16">
        <v>91</v>
      </c>
      <c r="C114" s="16">
        <v>0.154</v>
      </c>
      <c r="D114" s="16">
        <v>0.25</v>
      </c>
      <c r="E114" s="16">
        <v>86.4</v>
      </c>
      <c r="F114" s="11">
        <v>1</v>
      </c>
      <c r="G114" s="18">
        <v>0</v>
      </c>
    </row>
    <row r="115" spans="1:7" ht="15" thickBot="1" x14ac:dyDescent="0.4">
      <c r="A115" s="13" t="s">
        <v>281</v>
      </c>
      <c r="B115" s="16">
        <v>45</v>
      </c>
      <c r="C115" s="16">
        <v>0.111</v>
      </c>
      <c r="D115" s="16">
        <v>0.21099999999999999</v>
      </c>
      <c r="E115" s="16">
        <v>73.7</v>
      </c>
      <c r="F115" s="11">
        <v>1</v>
      </c>
      <c r="G115" s="18">
        <v>0</v>
      </c>
    </row>
    <row r="116" spans="1:7" ht="15" thickBot="1" x14ac:dyDescent="0.4">
      <c r="A116" s="13" t="s">
        <v>129</v>
      </c>
      <c r="B116" s="16">
        <v>94</v>
      </c>
      <c r="C116" s="16">
        <v>0.18099999999999999</v>
      </c>
      <c r="D116" s="16">
        <v>0.28199999999999997</v>
      </c>
      <c r="E116" s="16">
        <v>86</v>
      </c>
      <c r="F116" s="11">
        <v>1</v>
      </c>
      <c r="G116" s="18">
        <v>0</v>
      </c>
    </row>
    <row r="117" spans="1:7" ht="15" thickBot="1" x14ac:dyDescent="0.4">
      <c r="A117" s="13" t="s">
        <v>120</v>
      </c>
      <c r="B117" s="16">
        <v>89</v>
      </c>
      <c r="C117" s="16">
        <v>0.157</v>
      </c>
      <c r="D117" s="16">
        <v>0.25900000000000001</v>
      </c>
      <c r="E117" s="16">
        <v>89.4</v>
      </c>
      <c r="F117" s="11">
        <v>1</v>
      </c>
      <c r="G117" s="18">
        <v>1</v>
      </c>
    </row>
    <row r="118" spans="1:7" ht="15" thickBot="1" x14ac:dyDescent="0.4">
      <c r="A118" s="13" t="s">
        <v>126</v>
      </c>
      <c r="B118" s="16">
        <v>61</v>
      </c>
      <c r="C118" s="16">
        <v>0.115</v>
      </c>
      <c r="D118" s="16">
        <v>0.217</v>
      </c>
      <c r="E118" s="16">
        <v>87</v>
      </c>
      <c r="F118" s="11">
        <v>1</v>
      </c>
      <c r="G118" s="18">
        <v>1</v>
      </c>
    </row>
    <row r="119" spans="1:7" ht="15" thickBot="1" x14ac:dyDescent="0.4">
      <c r="A119" s="13" t="s">
        <v>233</v>
      </c>
      <c r="B119" s="16">
        <v>52</v>
      </c>
      <c r="C119" s="16">
        <v>0.17299999999999999</v>
      </c>
      <c r="D119" s="16">
        <v>0.27800000000000002</v>
      </c>
      <c r="E119" s="16">
        <v>84.7</v>
      </c>
      <c r="F119" s="11">
        <v>1</v>
      </c>
      <c r="G119" s="18">
        <v>0</v>
      </c>
    </row>
    <row r="120" spans="1:7" ht="15" thickBot="1" x14ac:dyDescent="0.4">
      <c r="A120" s="13" t="s">
        <v>144</v>
      </c>
      <c r="B120" s="16">
        <v>129</v>
      </c>
      <c r="C120" s="16">
        <v>0.124</v>
      </c>
      <c r="D120" s="16">
        <v>0.23100000000000001</v>
      </c>
      <c r="E120" s="16">
        <v>90.6</v>
      </c>
      <c r="F120" s="11">
        <v>1</v>
      </c>
      <c r="G120" s="18">
        <v>0</v>
      </c>
    </row>
    <row r="121" spans="1:7" ht="15" thickBot="1" x14ac:dyDescent="0.4">
      <c r="A121" s="13" t="s">
        <v>282</v>
      </c>
      <c r="B121" s="16">
        <v>34</v>
      </c>
      <c r="C121" s="16">
        <v>8.7999999999999995E-2</v>
      </c>
      <c r="D121" s="16">
        <v>0.19600000000000001</v>
      </c>
      <c r="E121" s="16">
        <v>80</v>
      </c>
      <c r="F121" s="11">
        <v>1</v>
      </c>
      <c r="G121" s="18">
        <v>1</v>
      </c>
    </row>
    <row r="122" spans="1:7" ht="15" thickBot="1" x14ac:dyDescent="0.4">
      <c r="A122" s="13" t="s">
        <v>114</v>
      </c>
      <c r="B122" s="16">
        <v>132</v>
      </c>
      <c r="C122" s="16">
        <v>0.16700000000000001</v>
      </c>
      <c r="D122" s="16">
        <v>0.27600000000000002</v>
      </c>
      <c r="E122" s="16">
        <v>91.9</v>
      </c>
      <c r="F122" s="11">
        <v>1</v>
      </c>
      <c r="G122" s="18">
        <v>1</v>
      </c>
    </row>
    <row r="123" spans="1:7" ht="15" thickBot="1" x14ac:dyDescent="0.4">
      <c r="A123" s="13" t="s">
        <v>121</v>
      </c>
      <c r="B123" s="16">
        <v>115</v>
      </c>
      <c r="C123" s="16">
        <v>0.157</v>
      </c>
      <c r="D123" s="16">
        <v>0.26900000000000002</v>
      </c>
      <c r="E123" s="16">
        <v>86.1</v>
      </c>
      <c r="F123" s="11">
        <v>1</v>
      </c>
      <c r="G123" s="18">
        <v>0</v>
      </c>
    </row>
    <row r="124" spans="1:7" ht="15" thickBot="1" x14ac:dyDescent="0.4">
      <c r="A124" s="13" t="s">
        <v>116</v>
      </c>
      <c r="B124" s="16">
        <v>182</v>
      </c>
      <c r="C124" s="16">
        <v>0.13700000000000001</v>
      </c>
      <c r="D124" s="16">
        <v>0.252</v>
      </c>
      <c r="E124" s="16">
        <v>86.8</v>
      </c>
      <c r="F124" s="11">
        <v>1</v>
      </c>
      <c r="G124" s="18">
        <v>1</v>
      </c>
    </row>
    <row r="125" spans="1:7" ht="15" thickBot="1" x14ac:dyDescent="0.4">
      <c r="A125" s="13" t="s">
        <v>115</v>
      </c>
      <c r="B125" s="16">
        <v>83</v>
      </c>
      <c r="C125" s="16">
        <v>0.12</v>
      </c>
      <c r="D125" s="16">
        <v>0.24</v>
      </c>
      <c r="E125" s="16">
        <v>88.3</v>
      </c>
      <c r="F125" s="11">
        <v>1</v>
      </c>
      <c r="G125" s="18">
        <v>1</v>
      </c>
    </row>
    <row r="126" spans="1:7" ht="15" thickBot="1" x14ac:dyDescent="0.4">
      <c r="A126" s="13" t="s">
        <v>154</v>
      </c>
      <c r="B126" s="16">
        <v>44</v>
      </c>
      <c r="C126" s="16">
        <v>0.114</v>
      </c>
      <c r="D126" s="16">
        <v>0.24</v>
      </c>
      <c r="E126" s="16">
        <v>79.8</v>
      </c>
      <c r="F126" s="11">
        <v>1</v>
      </c>
      <c r="G126" s="18">
        <v>1</v>
      </c>
    </row>
    <row r="127" spans="1:7" ht="15" thickBot="1" x14ac:dyDescent="0.4">
      <c r="A127" s="13" t="s">
        <v>109</v>
      </c>
      <c r="B127" s="16">
        <v>90</v>
      </c>
      <c r="C127" s="16">
        <v>0.14399999999999999</v>
      </c>
      <c r="D127" s="16">
        <v>0.27</v>
      </c>
      <c r="E127" s="16">
        <v>87.4</v>
      </c>
      <c r="F127" s="11">
        <v>1</v>
      </c>
      <c r="G127" s="18">
        <v>1</v>
      </c>
    </row>
    <row r="128" spans="1:7" ht="15" thickBot="1" x14ac:dyDescent="0.4">
      <c r="A128" s="13" t="s">
        <v>283</v>
      </c>
      <c r="B128" s="16">
        <v>34</v>
      </c>
      <c r="C128" s="16">
        <v>9.0999999999999998E-2</v>
      </c>
      <c r="D128" s="16">
        <v>0.219</v>
      </c>
      <c r="E128" s="16">
        <v>80.3</v>
      </c>
      <c r="F128" s="11">
        <v>1</v>
      </c>
      <c r="G128" s="18">
        <v>0</v>
      </c>
    </row>
    <row r="129" spans="1:7" ht="15" thickBot="1" x14ac:dyDescent="0.4">
      <c r="A129" s="13" t="s">
        <v>284</v>
      </c>
      <c r="B129" s="16">
        <v>34</v>
      </c>
      <c r="C129" s="16">
        <v>0.129</v>
      </c>
      <c r="D129" s="16">
        <v>0.26500000000000001</v>
      </c>
      <c r="E129" s="16">
        <v>78.599999999999994</v>
      </c>
      <c r="F129" s="11">
        <v>1</v>
      </c>
      <c r="G129" s="18">
        <v>1</v>
      </c>
    </row>
    <row r="130" spans="1:7" ht="15" thickBot="1" x14ac:dyDescent="0.4">
      <c r="A130" s="13" t="s">
        <v>285</v>
      </c>
      <c r="B130" s="16">
        <v>34</v>
      </c>
      <c r="C130" s="16">
        <v>0.20599999999999999</v>
      </c>
      <c r="D130" s="16">
        <v>0.34799999999999998</v>
      </c>
      <c r="E130" s="16">
        <v>87.9</v>
      </c>
      <c r="F130" s="11">
        <v>1</v>
      </c>
      <c r="G130" s="18">
        <v>1</v>
      </c>
    </row>
    <row r="131" spans="1:7" ht="15" thickBot="1" x14ac:dyDescent="0.4">
      <c r="A131" s="13" t="s">
        <v>238</v>
      </c>
      <c r="B131" s="16">
        <v>53</v>
      </c>
      <c r="C131" s="16">
        <v>0.13200000000000001</v>
      </c>
      <c r="D131" s="16">
        <v>0.28199999999999997</v>
      </c>
      <c r="E131" s="16">
        <v>89.3</v>
      </c>
      <c r="F131" s="11">
        <v>1</v>
      </c>
      <c r="G131" s="18">
        <v>0</v>
      </c>
    </row>
    <row r="132" spans="1:7" ht="15" thickBot="1" x14ac:dyDescent="0.4">
      <c r="A132" s="13" t="s">
        <v>286</v>
      </c>
      <c r="B132" s="16">
        <v>34</v>
      </c>
      <c r="C132" s="16">
        <v>8.7999999999999995E-2</v>
      </c>
      <c r="D132" s="16">
        <v>0.253</v>
      </c>
      <c r="E132" s="16">
        <v>86.3</v>
      </c>
      <c r="F132" s="11">
        <v>1</v>
      </c>
      <c r="G132" s="18">
        <v>0</v>
      </c>
    </row>
    <row r="133" spans="1:7" ht="15" thickBot="1" x14ac:dyDescent="0.4">
      <c r="A133" s="13" t="s">
        <v>239</v>
      </c>
      <c r="B133" s="16">
        <v>56</v>
      </c>
      <c r="C133" s="16">
        <v>7.0999999999999994E-2</v>
      </c>
      <c r="D133" s="16">
        <v>0.23799999999999999</v>
      </c>
      <c r="E133" s="16">
        <v>83.5</v>
      </c>
      <c r="F133" s="11">
        <v>1</v>
      </c>
      <c r="G133" s="18">
        <v>1</v>
      </c>
    </row>
    <row r="134" spans="1:7" ht="15" thickBot="1" x14ac:dyDescent="0.4">
      <c r="A134" s="13" t="s">
        <v>288</v>
      </c>
      <c r="B134" s="16">
        <v>33</v>
      </c>
      <c r="C134" s="16">
        <v>0.33300000000000002</v>
      </c>
      <c r="D134" s="16">
        <v>0.21199999999999999</v>
      </c>
      <c r="E134" s="16">
        <v>77.400000000000006</v>
      </c>
      <c r="F134" s="10">
        <v>0</v>
      </c>
      <c r="G134" s="18">
        <v>0</v>
      </c>
    </row>
    <row r="135" spans="1:7" ht="15" thickBot="1" x14ac:dyDescent="0.4">
      <c r="A135" s="13" t="s">
        <v>289</v>
      </c>
      <c r="B135" s="16">
        <v>33</v>
      </c>
      <c r="C135" s="16">
        <v>0.36399999999999999</v>
      </c>
      <c r="D135" s="16">
        <v>0.25</v>
      </c>
      <c r="E135" s="16">
        <v>91.1</v>
      </c>
      <c r="F135" s="10">
        <v>0</v>
      </c>
      <c r="G135" s="18">
        <v>0</v>
      </c>
    </row>
    <row r="136" spans="1:7" ht="15" thickBot="1" x14ac:dyDescent="0.4">
      <c r="A136" s="13" t="s">
        <v>190</v>
      </c>
      <c r="B136" s="16">
        <v>63</v>
      </c>
      <c r="C136" s="16">
        <v>0.34899999999999998</v>
      </c>
      <c r="D136" s="16">
        <v>0.23699999999999999</v>
      </c>
      <c r="E136" s="16">
        <v>87</v>
      </c>
      <c r="F136" s="10">
        <v>0</v>
      </c>
      <c r="G136" s="18">
        <v>1</v>
      </c>
    </row>
    <row r="137" spans="1:7" ht="15" thickBot="1" x14ac:dyDescent="0.4">
      <c r="A137" s="13" t="s">
        <v>290</v>
      </c>
      <c r="B137" s="16">
        <v>32</v>
      </c>
      <c r="C137" s="16">
        <v>0.28100000000000003</v>
      </c>
      <c r="D137" s="16">
        <v>0.193</v>
      </c>
      <c r="E137" s="16">
        <v>81.900000000000006</v>
      </c>
      <c r="F137" s="10">
        <v>0</v>
      </c>
      <c r="G137" s="18">
        <v>0</v>
      </c>
    </row>
    <row r="138" spans="1:7" ht="15" thickBot="1" x14ac:dyDescent="0.4">
      <c r="A138" s="13" t="s">
        <v>194</v>
      </c>
      <c r="B138" s="16">
        <v>68</v>
      </c>
      <c r="C138" s="16">
        <v>0.32800000000000001</v>
      </c>
      <c r="D138" s="16">
        <v>0.25600000000000001</v>
      </c>
      <c r="E138" s="16">
        <v>84.8</v>
      </c>
      <c r="F138" s="10">
        <v>0</v>
      </c>
      <c r="G138" s="18">
        <v>0</v>
      </c>
    </row>
    <row r="139" spans="1:7" ht="15" thickBot="1" x14ac:dyDescent="0.4">
      <c r="A139" s="13" t="s">
        <v>291</v>
      </c>
      <c r="B139" s="16">
        <v>32</v>
      </c>
      <c r="C139" s="16">
        <v>0.28100000000000003</v>
      </c>
      <c r="D139" s="16">
        <v>0.219</v>
      </c>
      <c r="E139" s="16">
        <v>85.2</v>
      </c>
      <c r="F139" s="10">
        <v>0</v>
      </c>
      <c r="G139" s="18">
        <v>0</v>
      </c>
    </row>
    <row r="140" spans="1:7" ht="15" thickBot="1" x14ac:dyDescent="0.4">
      <c r="A140" s="13" t="s">
        <v>292</v>
      </c>
      <c r="B140" s="16">
        <v>33</v>
      </c>
      <c r="C140" s="16">
        <v>0.30299999999999999</v>
      </c>
      <c r="D140" s="16">
        <v>0.24199999999999999</v>
      </c>
      <c r="E140" s="16">
        <v>83.6</v>
      </c>
      <c r="F140" s="10">
        <v>0</v>
      </c>
      <c r="G140" s="18">
        <v>0</v>
      </c>
    </row>
    <row r="141" spans="1:7" ht="15" thickBot="1" x14ac:dyDescent="0.4">
      <c r="A141" s="13" t="s">
        <v>293</v>
      </c>
      <c r="B141" s="16">
        <v>41</v>
      </c>
      <c r="C141" s="16">
        <v>0.24399999999999999</v>
      </c>
      <c r="D141" s="16">
        <v>0.20499999999999999</v>
      </c>
      <c r="E141" s="16">
        <v>85.5</v>
      </c>
      <c r="F141" s="10">
        <v>0</v>
      </c>
      <c r="G141" s="18">
        <v>1</v>
      </c>
    </row>
    <row r="142" spans="1:7" ht="15" thickBot="1" x14ac:dyDescent="0.4">
      <c r="A142" s="13" t="s">
        <v>200</v>
      </c>
      <c r="B142" s="16">
        <v>63</v>
      </c>
      <c r="C142" s="16">
        <v>0.27</v>
      </c>
      <c r="D142" s="16">
        <v>0.23799999999999999</v>
      </c>
      <c r="E142" s="16">
        <v>89.2</v>
      </c>
      <c r="F142" s="10">
        <v>0</v>
      </c>
      <c r="G142" s="18">
        <v>0</v>
      </c>
    </row>
    <row r="143" spans="1:7" ht="15" thickBot="1" x14ac:dyDescent="0.4">
      <c r="A143" s="13" t="s">
        <v>294</v>
      </c>
      <c r="B143" s="16">
        <v>47</v>
      </c>
      <c r="C143" s="16">
        <v>0.31900000000000001</v>
      </c>
      <c r="D143" s="16">
        <v>0.28899999999999998</v>
      </c>
      <c r="E143" s="16">
        <v>88.7</v>
      </c>
      <c r="F143" s="10">
        <v>0</v>
      </c>
      <c r="G143" s="18">
        <v>1</v>
      </c>
    </row>
    <row r="144" spans="1:7" ht="15" thickBot="1" x14ac:dyDescent="0.4">
      <c r="A144" s="13" t="s">
        <v>201</v>
      </c>
      <c r="B144" s="16">
        <v>62</v>
      </c>
      <c r="C144" s="16">
        <v>0.25800000000000001</v>
      </c>
      <c r="D144" s="16">
        <v>0.23300000000000001</v>
      </c>
      <c r="E144" s="16">
        <v>82.9</v>
      </c>
      <c r="F144" s="10">
        <v>0</v>
      </c>
      <c r="G144" s="18">
        <v>1</v>
      </c>
    </row>
    <row r="145" spans="1:7" ht="15" thickBot="1" x14ac:dyDescent="0.4">
      <c r="A145" s="13" t="s">
        <v>202</v>
      </c>
      <c r="B145" s="16">
        <v>106</v>
      </c>
      <c r="C145" s="16">
        <v>0.255</v>
      </c>
      <c r="D145" s="16">
        <v>0.23300000000000001</v>
      </c>
      <c r="E145" s="16">
        <v>82.8</v>
      </c>
      <c r="F145" s="10">
        <v>0</v>
      </c>
      <c r="G145" s="18">
        <v>1</v>
      </c>
    </row>
    <row r="146" spans="1:7" ht="15" thickBot="1" x14ac:dyDescent="0.4">
      <c r="A146" s="13" t="s">
        <v>295</v>
      </c>
      <c r="B146" s="16">
        <v>36</v>
      </c>
      <c r="C146" s="16">
        <v>0.25</v>
      </c>
      <c r="D146" s="16">
        <v>0.23</v>
      </c>
      <c r="E146" s="16">
        <v>84</v>
      </c>
      <c r="F146" s="10">
        <v>0</v>
      </c>
      <c r="G146" s="18">
        <v>1</v>
      </c>
    </row>
    <row r="147" spans="1:7" ht="15" thickBot="1" x14ac:dyDescent="0.4">
      <c r="A147" s="13" t="s">
        <v>204</v>
      </c>
      <c r="B147" s="16">
        <v>99</v>
      </c>
      <c r="C147" s="16">
        <v>0.28299999999999997</v>
      </c>
      <c r="D147" s="16">
        <v>0.26300000000000001</v>
      </c>
      <c r="E147" s="16">
        <v>87.8</v>
      </c>
      <c r="F147" s="10">
        <v>0</v>
      </c>
      <c r="G147" s="18">
        <v>0</v>
      </c>
    </row>
    <row r="148" spans="1:7" ht="15" thickBot="1" x14ac:dyDescent="0.4">
      <c r="A148" s="13" t="s">
        <v>203</v>
      </c>
      <c r="B148" s="16">
        <v>59</v>
      </c>
      <c r="C148" s="16">
        <v>0.22</v>
      </c>
      <c r="D148" s="16">
        <v>0.2</v>
      </c>
      <c r="E148" s="16">
        <v>80.599999999999994</v>
      </c>
      <c r="F148" s="10">
        <v>0</v>
      </c>
      <c r="G148" s="18">
        <v>1</v>
      </c>
    </row>
    <row r="149" spans="1:7" ht="15" thickBot="1" x14ac:dyDescent="0.4">
      <c r="A149" s="13" t="s">
        <v>296</v>
      </c>
      <c r="B149" s="16">
        <v>35</v>
      </c>
      <c r="C149" s="16">
        <v>0.22900000000000001</v>
      </c>
      <c r="D149" s="16">
        <v>0.21</v>
      </c>
      <c r="E149" s="16">
        <v>82.9</v>
      </c>
      <c r="F149" s="10">
        <v>0</v>
      </c>
      <c r="G149" s="18">
        <v>0</v>
      </c>
    </row>
    <row r="150" spans="1:7" ht="15" thickBot="1" x14ac:dyDescent="0.4">
      <c r="A150" s="13" t="s">
        <v>205</v>
      </c>
      <c r="B150" s="16">
        <v>94</v>
      </c>
      <c r="C150" s="16">
        <v>0.26600000000000001</v>
      </c>
      <c r="D150" s="16">
        <v>0.248</v>
      </c>
      <c r="E150" s="16">
        <v>81.099999999999994</v>
      </c>
      <c r="F150" s="10">
        <v>0</v>
      </c>
      <c r="G150" s="18">
        <v>1</v>
      </c>
    </row>
    <row r="151" spans="1:7" ht="15" thickBot="1" x14ac:dyDescent="0.4">
      <c r="A151" s="13" t="s">
        <v>206</v>
      </c>
      <c r="B151" s="16">
        <v>134</v>
      </c>
      <c r="C151" s="16">
        <v>0.26900000000000002</v>
      </c>
      <c r="D151" s="16">
        <v>0.25700000000000001</v>
      </c>
      <c r="E151" s="16">
        <v>84.2</v>
      </c>
      <c r="F151" s="10">
        <v>0</v>
      </c>
      <c r="G151" s="18">
        <v>1</v>
      </c>
    </row>
    <row r="152" spans="1:7" ht="15" thickBot="1" x14ac:dyDescent="0.4">
      <c r="A152" s="13" t="s">
        <v>207</v>
      </c>
      <c r="B152" s="16">
        <v>94</v>
      </c>
      <c r="C152" s="16">
        <v>0.23400000000000001</v>
      </c>
      <c r="D152" s="16">
        <v>0.22700000000000001</v>
      </c>
      <c r="E152" s="16">
        <v>83.6</v>
      </c>
      <c r="F152" s="10">
        <v>0</v>
      </c>
      <c r="G152" s="18">
        <v>0</v>
      </c>
    </row>
    <row r="153" spans="1:7" ht="15" thickBot="1" x14ac:dyDescent="0.4">
      <c r="A153" s="13" t="s">
        <v>208</v>
      </c>
      <c r="B153" s="16">
        <v>62</v>
      </c>
      <c r="C153" s="16">
        <v>0.22600000000000001</v>
      </c>
      <c r="D153" s="16">
        <v>0.22700000000000001</v>
      </c>
      <c r="E153" s="16">
        <v>84.5</v>
      </c>
      <c r="F153" s="10">
        <v>0</v>
      </c>
      <c r="G153" s="18">
        <v>1</v>
      </c>
    </row>
    <row r="154" spans="1:7" ht="15" thickBot="1" x14ac:dyDescent="0.4">
      <c r="A154" s="13" t="s">
        <v>297</v>
      </c>
      <c r="B154" s="16">
        <v>33</v>
      </c>
      <c r="C154" s="16">
        <v>0.27300000000000002</v>
      </c>
      <c r="D154" s="16">
        <v>0.27800000000000002</v>
      </c>
      <c r="E154" s="16">
        <v>85.9</v>
      </c>
      <c r="F154" s="10">
        <v>0</v>
      </c>
      <c r="G154" s="18">
        <v>1</v>
      </c>
    </row>
    <row r="155" spans="1:7" ht="15" thickBot="1" x14ac:dyDescent="0.4">
      <c r="A155" s="13" t="s">
        <v>298</v>
      </c>
      <c r="B155" s="16">
        <v>36</v>
      </c>
      <c r="C155" s="16">
        <v>0.19400000000000001</v>
      </c>
      <c r="D155" s="16">
        <v>0.19900000000000001</v>
      </c>
      <c r="E155" s="16">
        <v>82</v>
      </c>
      <c r="F155" s="10">
        <v>0</v>
      </c>
      <c r="G155" s="18">
        <v>0</v>
      </c>
    </row>
    <row r="156" spans="1:7" ht="15" thickBot="1" x14ac:dyDescent="0.4">
      <c r="A156" s="13" t="s">
        <v>299</v>
      </c>
      <c r="B156" s="16">
        <v>47</v>
      </c>
      <c r="C156" s="16">
        <v>0.23400000000000001</v>
      </c>
      <c r="D156" s="16">
        <v>0.24</v>
      </c>
      <c r="E156" s="16">
        <v>84.8</v>
      </c>
      <c r="F156" s="10">
        <v>0</v>
      </c>
      <c r="G156" s="18">
        <v>1</v>
      </c>
    </row>
    <row r="157" spans="1:7" ht="15" thickBot="1" x14ac:dyDescent="0.4">
      <c r="A157" s="13" t="s">
        <v>209</v>
      </c>
      <c r="B157" s="16">
        <v>55</v>
      </c>
      <c r="C157" s="16">
        <v>0.27300000000000002</v>
      </c>
      <c r="D157" s="16">
        <v>0.28100000000000003</v>
      </c>
      <c r="E157" s="16">
        <v>87.1</v>
      </c>
      <c r="F157" s="10">
        <v>0</v>
      </c>
      <c r="G157" s="18">
        <v>0</v>
      </c>
    </row>
    <row r="158" spans="1:7" ht="15" thickBot="1" x14ac:dyDescent="0.4">
      <c r="A158" s="13" t="s">
        <v>300</v>
      </c>
      <c r="B158" s="16">
        <v>42</v>
      </c>
      <c r="C158" s="16">
        <v>0.214</v>
      </c>
      <c r="D158" s="16">
        <v>0.22500000000000001</v>
      </c>
      <c r="E158" s="16">
        <v>81.400000000000006</v>
      </c>
      <c r="F158" s="10">
        <v>0</v>
      </c>
      <c r="G158" s="18">
        <v>1</v>
      </c>
    </row>
    <row r="159" spans="1:7" ht="15" thickBot="1" x14ac:dyDescent="0.4">
      <c r="A159" s="13" t="s">
        <v>211</v>
      </c>
      <c r="B159" s="16">
        <v>84</v>
      </c>
      <c r="C159" s="16">
        <v>0.214</v>
      </c>
      <c r="D159" s="16">
        <v>0.22800000000000001</v>
      </c>
      <c r="E159" s="16">
        <v>81.599999999999994</v>
      </c>
      <c r="F159" s="10">
        <v>0</v>
      </c>
      <c r="G159" s="18">
        <v>1</v>
      </c>
    </row>
    <row r="160" spans="1:7" ht="15" thickBot="1" x14ac:dyDescent="0.4">
      <c r="A160" s="13" t="s">
        <v>212</v>
      </c>
      <c r="B160" s="16">
        <v>74</v>
      </c>
      <c r="C160" s="16">
        <v>0.24299999999999999</v>
      </c>
      <c r="D160" s="16">
        <v>0.25900000000000001</v>
      </c>
      <c r="E160" s="16">
        <v>85.4</v>
      </c>
      <c r="F160" s="10">
        <v>0</v>
      </c>
      <c r="G160" s="18">
        <v>0</v>
      </c>
    </row>
    <row r="161" spans="1:7" ht="15" thickBot="1" x14ac:dyDescent="0.4">
      <c r="A161" s="13" t="s">
        <v>301</v>
      </c>
      <c r="B161" s="16">
        <v>44</v>
      </c>
      <c r="C161" s="16">
        <v>0.20499999999999999</v>
      </c>
      <c r="D161" s="16">
        <v>0.222</v>
      </c>
      <c r="E161" s="16">
        <v>81.7</v>
      </c>
      <c r="F161" s="10">
        <v>0</v>
      </c>
      <c r="G161" s="18">
        <v>0</v>
      </c>
    </row>
    <row r="162" spans="1:7" ht="15" thickBot="1" x14ac:dyDescent="0.4">
      <c r="A162" s="13" t="s">
        <v>302</v>
      </c>
      <c r="B162" s="16">
        <v>42</v>
      </c>
      <c r="C162" s="16">
        <v>0.16700000000000001</v>
      </c>
      <c r="D162" s="16">
        <v>0.189</v>
      </c>
      <c r="E162" s="16">
        <v>84.1</v>
      </c>
      <c r="F162" s="10">
        <v>0</v>
      </c>
      <c r="G162" s="18">
        <v>1</v>
      </c>
    </row>
    <row r="163" spans="1:7" ht="15" thickBot="1" x14ac:dyDescent="0.4">
      <c r="A163" s="13" t="s">
        <v>303</v>
      </c>
      <c r="B163" s="16">
        <v>40</v>
      </c>
      <c r="C163" s="16">
        <v>0.23100000000000001</v>
      </c>
      <c r="D163" s="16">
        <v>0.254</v>
      </c>
      <c r="E163" s="16">
        <v>86.2</v>
      </c>
      <c r="F163" s="10">
        <v>0</v>
      </c>
      <c r="G163" s="18">
        <v>0</v>
      </c>
    </row>
    <row r="164" spans="1:7" ht="15" thickBot="1" x14ac:dyDescent="0.4">
      <c r="A164" s="13" t="s">
        <v>304</v>
      </c>
      <c r="B164" s="16">
        <v>38</v>
      </c>
      <c r="C164" s="16">
        <v>0.23699999999999999</v>
      </c>
      <c r="D164" s="16">
        <v>0.26100000000000001</v>
      </c>
      <c r="E164" s="16">
        <v>85.4</v>
      </c>
      <c r="F164" s="10">
        <v>0</v>
      </c>
      <c r="G164" s="18">
        <v>0</v>
      </c>
    </row>
    <row r="165" spans="1:7" ht="15" thickBot="1" x14ac:dyDescent="0.4">
      <c r="A165" s="13" t="s">
        <v>305</v>
      </c>
      <c r="B165" s="16">
        <v>36</v>
      </c>
      <c r="C165" s="16">
        <v>0.222</v>
      </c>
      <c r="D165" s="16">
        <v>0.248</v>
      </c>
      <c r="E165" s="16">
        <v>81.7</v>
      </c>
      <c r="F165" s="10">
        <v>0</v>
      </c>
      <c r="G165" s="18">
        <v>0</v>
      </c>
    </row>
    <row r="166" spans="1:7" ht="15" thickBot="1" x14ac:dyDescent="0.4">
      <c r="A166" s="13" t="s">
        <v>306</v>
      </c>
      <c r="B166" s="16">
        <v>40</v>
      </c>
      <c r="C166" s="16">
        <v>0.17499999999999999</v>
      </c>
      <c r="D166" s="16">
        <v>0.20200000000000001</v>
      </c>
      <c r="E166" s="16">
        <v>79.3</v>
      </c>
      <c r="F166" s="10">
        <v>0</v>
      </c>
      <c r="G166" s="18">
        <v>0</v>
      </c>
    </row>
    <row r="167" spans="1:7" ht="15" thickBot="1" x14ac:dyDescent="0.4">
      <c r="A167" s="13" t="s">
        <v>307</v>
      </c>
      <c r="B167" s="16">
        <v>33</v>
      </c>
      <c r="C167" s="16">
        <v>0.182</v>
      </c>
      <c r="D167" s="16">
        <v>0.216</v>
      </c>
      <c r="E167" s="16">
        <v>85.9</v>
      </c>
      <c r="F167" s="10">
        <v>0</v>
      </c>
      <c r="G167" s="18">
        <v>0</v>
      </c>
    </row>
    <row r="168" spans="1:7" ht="15" thickBot="1" x14ac:dyDescent="0.4">
      <c r="A168" s="13" t="s">
        <v>308</v>
      </c>
      <c r="B168" s="16">
        <v>48</v>
      </c>
      <c r="C168" s="16">
        <v>0.25</v>
      </c>
      <c r="D168" s="16">
        <v>0.28499999999999998</v>
      </c>
      <c r="E168" s="16">
        <v>80.5</v>
      </c>
      <c r="F168" s="10">
        <v>0</v>
      </c>
      <c r="G168" s="18">
        <v>1</v>
      </c>
    </row>
    <row r="169" spans="1:7" ht="15" thickBot="1" x14ac:dyDescent="0.4">
      <c r="A169" s="13" t="s">
        <v>213</v>
      </c>
      <c r="B169" s="16">
        <v>110</v>
      </c>
      <c r="C169" s="16">
        <v>0.22700000000000001</v>
      </c>
      <c r="D169" s="16">
        <v>0.26400000000000001</v>
      </c>
      <c r="E169" s="16">
        <v>88</v>
      </c>
      <c r="F169" s="10">
        <v>0</v>
      </c>
      <c r="G169" s="18">
        <v>0</v>
      </c>
    </row>
    <row r="170" spans="1:7" ht="15" thickBot="1" x14ac:dyDescent="0.4">
      <c r="A170" s="13" t="s">
        <v>309</v>
      </c>
      <c r="B170" s="16">
        <v>46</v>
      </c>
      <c r="C170" s="16">
        <v>0.17399999999999999</v>
      </c>
      <c r="D170" s="16">
        <v>0.215</v>
      </c>
      <c r="E170" s="16">
        <v>85.6</v>
      </c>
      <c r="F170" s="10">
        <v>0</v>
      </c>
      <c r="G170" s="18">
        <v>0</v>
      </c>
    </row>
    <row r="171" spans="1:7" ht="15" thickBot="1" x14ac:dyDescent="0.4">
      <c r="A171" s="13" t="s">
        <v>215</v>
      </c>
      <c r="B171" s="16">
        <v>92</v>
      </c>
      <c r="C171" s="16">
        <v>0.20699999999999999</v>
      </c>
      <c r="D171" s="16">
        <v>0.252</v>
      </c>
      <c r="E171" s="16">
        <v>87.5</v>
      </c>
      <c r="F171" s="10">
        <v>0</v>
      </c>
      <c r="G171" s="18">
        <v>1</v>
      </c>
    </row>
    <row r="172" spans="1:7" ht="15" thickBot="1" x14ac:dyDescent="0.4">
      <c r="A172" s="13" t="s">
        <v>216</v>
      </c>
      <c r="B172" s="16">
        <v>62</v>
      </c>
      <c r="C172" s="16">
        <v>0.21299999999999999</v>
      </c>
      <c r="D172" s="16">
        <v>0.26100000000000001</v>
      </c>
      <c r="E172" s="16">
        <v>83.6</v>
      </c>
      <c r="F172" s="10">
        <v>0</v>
      </c>
      <c r="G172" s="18">
        <v>1</v>
      </c>
    </row>
    <row r="173" spans="1:7" ht="15" thickBot="1" x14ac:dyDescent="0.4">
      <c r="A173" s="13" t="s">
        <v>217</v>
      </c>
      <c r="B173" s="16">
        <v>65</v>
      </c>
      <c r="C173" s="16">
        <v>0.23100000000000001</v>
      </c>
      <c r="D173" s="16">
        <v>0.28199999999999997</v>
      </c>
      <c r="E173" s="16">
        <v>89.5</v>
      </c>
      <c r="F173" s="10">
        <v>0</v>
      </c>
      <c r="G173" s="18">
        <v>0</v>
      </c>
    </row>
    <row r="174" spans="1:7" ht="15" thickBot="1" x14ac:dyDescent="0.4">
      <c r="A174" s="13" t="s">
        <v>220</v>
      </c>
      <c r="B174" s="16">
        <v>79</v>
      </c>
      <c r="C174" s="16">
        <v>0.215</v>
      </c>
      <c r="D174" s="16">
        <v>0.27200000000000002</v>
      </c>
      <c r="E174" s="16">
        <v>84.6</v>
      </c>
      <c r="F174" s="10">
        <v>0</v>
      </c>
      <c r="G174" s="18">
        <v>0</v>
      </c>
    </row>
    <row r="175" spans="1:7" ht="15" thickBot="1" x14ac:dyDescent="0.4">
      <c r="A175" s="13" t="s">
        <v>219</v>
      </c>
      <c r="B175" s="16">
        <v>53</v>
      </c>
      <c r="C175" s="16">
        <v>0.22600000000000001</v>
      </c>
      <c r="D175" s="16">
        <v>0.28299999999999997</v>
      </c>
      <c r="E175" s="16">
        <v>86.4</v>
      </c>
      <c r="F175" s="10">
        <v>0</v>
      </c>
      <c r="G175" s="18">
        <v>1</v>
      </c>
    </row>
    <row r="176" spans="1:7" ht="15" thickBot="1" x14ac:dyDescent="0.4">
      <c r="A176" s="13" t="s">
        <v>310</v>
      </c>
      <c r="B176" s="16">
        <v>35</v>
      </c>
      <c r="C176" s="16">
        <v>0.2</v>
      </c>
      <c r="D176" s="16">
        <v>0.25800000000000001</v>
      </c>
      <c r="E176" s="16">
        <v>83.9</v>
      </c>
      <c r="F176" s="10">
        <v>0</v>
      </c>
      <c r="G176" s="18">
        <v>1</v>
      </c>
    </row>
    <row r="177" spans="1:7" ht="15" thickBot="1" x14ac:dyDescent="0.4">
      <c r="A177" s="13" t="s">
        <v>221</v>
      </c>
      <c r="B177" s="16">
        <v>91</v>
      </c>
      <c r="C177" s="16">
        <v>0.187</v>
      </c>
      <c r="D177" s="16">
        <v>0.245</v>
      </c>
      <c r="E177" s="16">
        <v>85.9</v>
      </c>
      <c r="F177" s="10">
        <v>0</v>
      </c>
      <c r="G177" s="18">
        <v>1</v>
      </c>
    </row>
    <row r="178" spans="1:7" ht="15" thickBot="1" x14ac:dyDescent="0.4">
      <c r="A178" s="13" t="s">
        <v>222</v>
      </c>
      <c r="B178" s="16">
        <v>83</v>
      </c>
      <c r="C178" s="16">
        <v>0.16900000000000001</v>
      </c>
      <c r="D178" s="16">
        <v>0.23100000000000001</v>
      </c>
      <c r="E178" s="16">
        <v>83.5</v>
      </c>
      <c r="F178" s="10">
        <v>0</v>
      </c>
      <c r="G178" s="18">
        <v>0</v>
      </c>
    </row>
    <row r="179" spans="1:7" ht="15" thickBot="1" x14ac:dyDescent="0.4">
      <c r="A179" s="13" t="s">
        <v>223</v>
      </c>
      <c r="B179" s="16">
        <v>65</v>
      </c>
      <c r="C179" s="16">
        <v>0.2</v>
      </c>
      <c r="D179" s="16">
        <v>0.26200000000000001</v>
      </c>
      <c r="E179" s="16">
        <v>90.8</v>
      </c>
      <c r="F179" s="10">
        <v>0</v>
      </c>
      <c r="G179" s="18">
        <v>1</v>
      </c>
    </row>
    <row r="180" spans="1:7" ht="15" thickBot="1" x14ac:dyDescent="0.4">
      <c r="A180" s="13" t="s">
        <v>225</v>
      </c>
      <c r="B180" s="16">
        <v>107</v>
      </c>
      <c r="C180" s="16">
        <v>0.187</v>
      </c>
      <c r="D180" s="16">
        <v>0.252</v>
      </c>
      <c r="E180" s="16">
        <v>85.5</v>
      </c>
      <c r="F180" s="10">
        <v>0</v>
      </c>
      <c r="G180" s="18">
        <v>1</v>
      </c>
    </row>
    <row r="181" spans="1:7" ht="15" thickBot="1" x14ac:dyDescent="0.4">
      <c r="A181" s="13" t="s">
        <v>311</v>
      </c>
      <c r="B181" s="16">
        <v>85</v>
      </c>
      <c r="C181" s="16">
        <v>0.17599999999999999</v>
      </c>
      <c r="D181" s="16">
        <v>0.24399999999999999</v>
      </c>
      <c r="E181" s="16">
        <v>86.6</v>
      </c>
      <c r="F181" s="10">
        <v>0</v>
      </c>
      <c r="G181" s="18">
        <v>1</v>
      </c>
    </row>
    <row r="182" spans="1:7" ht="15" thickBot="1" x14ac:dyDescent="0.4">
      <c r="A182" s="13" t="s">
        <v>228</v>
      </c>
      <c r="B182" s="16">
        <v>98</v>
      </c>
      <c r="C182" s="16">
        <v>0.184</v>
      </c>
      <c r="D182" s="16">
        <v>0.254</v>
      </c>
      <c r="E182" s="16">
        <v>86.3</v>
      </c>
      <c r="F182" s="10">
        <v>0</v>
      </c>
      <c r="G182" s="18">
        <v>0</v>
      </c>
    </row>
    <row r="183" spans="1:7" ht="15" thickBot="1" x14ac:dyDescent="0.4">
      <c r="A183" s="13" t="s">
        <v>312</v>
      </c>
      <c r="B183" s="16">
        <v>30</v>
      </c>
      <c r="C183" s="16">
        <v>6.7000000000000004E-2</v>
      </c>
      <c r="D183" s="16">
        <v>0.14599999999999999</v>
      </c>
      <c r="E183" s="16">
        <v>78.400000000000006</v>
      </c>
      <c r="F183" s="10">
        <v>0</v>
      </c>
      <c r="G183" s="18">
        <v>1</v>
      </c>
    </row>
    <row r="184" spans="1:7" ht="15" thickBot="1" x14ac:dyDescent="0.4">
      <c r="A184" s="13" t="s">
        <v>313</v>
      </c>
      <c r="B184" s="16">
        <v>40</v>
      </c>
      <c r="C184" s="16">
        <v>0.1</v>
      </c>
      <c r="D184" s="16">
        <v>0.19</v>
      </c>
      <c r="E184" s="16">
        <v>87.7</v>
      </c>
      <c r="F184" s="10">
        <v>0</v>
      </c>
      <c r="G184" s="18">
        <v>0</v>
      </c>
    </row>
    <row r="185" spans="1:7" ht="15" thickBot="1" x14ac:dyDescent="0.4">
      <c r="A185" s="13" t="s">
        <v>232</v>
      </c>
      <c r="B185" s="16">
        <v>59</v>
      </c>
      <c r="C185" s="16">
        <v>0.16900000000000001</v>
      </c>
      <c r="D185" s="16">
        <v>0.26300000000000001</v>
      </c>
      <c r="E185" s="16">
        <v>88.4</v>
      </c>
      <c r="F185" s="10">
        <v>0</v>
      </c>
      <c r="G185" s="18">
        <v>1</v>
      </c>
    </row>
    <row r="186" spans="1:7" ht="15" thickBot="1" x14ac:dyDescent="0.4">
      <c r="A186" s="13" t="s">
        <v>314</v>
      </c>
      <c r="B186" s="16">
        <v>31</v>
      </c>
      <c r="C186" s="16">
        <v>9.7000000000000003E-2</v>
      </c>
      <c r="D186" s="16">
        <v>0.19600000000000001</v>
      </c>
      <c r="E186" s="16">
        <v>83.9</v>
      </c>
      <c r="F186" s="10">
        <v>0</v>
      </c>
      <c r="G186" s="18">
        <v>0</v>
      </c>
    </row>
    <row r="187" spans="1:7" ht="15" thickBot="1" x14ac:dyDescent="0.4">
      <c r="A187" s="13" t="s">
        <v>234</v>
      </c>
      <c r="B187" s="16">
        <v>69</v>
      </c>
      <c r="C187" s="16">
        <v>0.159</v>
      </c>
      <c r="D187" s="16">
        <v>0.26700000000000002</v>
      </c>
      <c r="E187" s="16">
        <v>81.8</v>
      </c>
      <c r="F187" s="10">
        <v>0</v>
      </c>
      <c r="G187" s="18">
        <v>0</v>
      </c>
    </row>
    <row r="188" spans="1:7" ht="15" thickBot="1" x14ac:dyDescent="0.4">
      <c r="A188" s="13" t="s">
        <v>315</v>
      </c>
      <c r="B188" s="16">
        <v>41</v>
      </c>
      <c r="C188" s="16">
        <v>7.2999999999999995E-2</v>
      </c>
      <c r="D188" s="16">
        <v>0.18099999999999999</v>
      </c>
      <c r="E188" s="16">
        <v>84.9</v>
      </c>
      <c r="F188" s="10">
        <v>0</v>
      </c>
      <c r="G188" s="18">
        <v>0</v>
      </c>
    </row>
    <row r="189" spans="1:7" ht="15" thickBot="1" x14ac:dyDescent="0.4">
      <c r="A189" s="13" t="s">
        <v>235</v>
      </c>
      <c r="B189" s="16">
        <v>60</v>
      </c>
      <c r="C189" s="16">
        <v>0.183</v>
      </c>
      <c r="D189" s="16">
        <v>0.29399999999999998</v>
      </c>
      <c r="E189" s="16">
        <v>89.3</v>
      </c>
      <c r="F189" s="10">
        <v>0</v>
      </c>
      <c r="G189" s="18">
        <v>0</v>
      </c>
    </row>
    <row r="190" spans="1:7" ht="15" thickBot="1" x14ac:dyDescent="0.4">
      <c r="A190" s="13" t="s">
        <v>316</v>
      </c>
      <c r="B190" s="16">
        <v>49</v>
      </c>
      <c r="C190" s="16">
        <v>0.125</v>
      </c>
      <c r="D190" s="16">
        <v>0.23599999999999999</v>
      </c>
      <c r="E190" s="16">
        <v>88.2</v>
      </c>
      <c r="F190" s="10">
        <v>0</v>
      </c>
      <c r="G190" s="18">
        <v>1</v>
      </c>
    </row>
    <row r="191" spans="1:7" ht="15" thickBot="1" x14ac:dyDescent="0.4">
      <c r="A191" s="13" t="s">
        <v>317</v>
      </c>
      <c r="B191" s="16">
        <v>43</v>
      </c>
      <c r="C191" s="16">
        <v>0.14000000000000001</v>
      </c>
      <c r="D191" s="16">
        <v>0.254</v>
      </c>
      <c r="E191" s="16">
        <v>85.1</v>
      </c>
      <c r="F191" s="10">
        <v>0</v>
      </c>
      <c r="G191" s="18">
        <v>0</v>
      </c>
    </row>
    <row r="192" spans="1:7" ht="15" thickBot="1" x14ac:dyDescent="0.4">
      <c r="A192" s="13" t="s">
        <v>318</v>
      </c>
      <c r="B192" s="16">
        <v>30</v>
      </c>
      <c r="C192" s="16">
        <v>0.13300000000000001</v>
      </c>
      <c r="D192" s="16">
        <v>0.26</v>
      </c>
      <c r="E192" s="16">
        <v>81.5</v>
      </c>
      <c r="F192" s="10">
        <v>0</v>
      </c>
      <c r="G192" s="18">
        <v>0</v>
      </c>
    </row>
    <row r="193" spans="1:7" ht="15" thickBot="1" x14ac:dyDescent="0.4">
      <c r="A193" s="13" t="s">
        <v>236</v>
      </c>
      <c r="B193" s="16">
        <v>60</v>
      </c>
      <c r="C193" s="16">
        <v>0.15</v>
      </c>
      <c r="D193" s="16">
        <v>0.27700000000000002</v>
      </c>
      <c r="E193" s="16">
        <v>87.8</v>
      </c>
      <c r="F193" s="10">
        <v>0</v>
      </c>
      <c r="G193" s="18">
        <v>0</v>
      </c>
    </row>
    <row r="194" spans="1:7" ht="15" thickBot="1" x14ac:dyDescent="0.4">
      <c r="A194" s="13" t="s">
        <v>237</v>
      </c>
      <c r="B194" s="16">
        <v>52</v>
      </c>
      <c r="C194" s="16">
        <v>7.6999999999999999E-2</v>
      </c>
      <c r="D194" s="16">
        <v>0.221</v>
      </c>
      <c r="E194" s="16">
        <v>82.1</v>
      </c>
      <c r="F194" s="10">
        <v>0</v>
      </c>
      <c r="G194" s="18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692E-D174-4EDC-B8AF-CD16B12427A0}">
  <dimension ref="A1:J301"/>
  <sheetViews>
    <sheetView topLeftCell="B1" workbookViewId="0">
      <selection activeCell="D1" sqref="D1"/>
    </sheetView>
  </sheetViews>
  <sheetFormatPr defaultRowHeight="13" x14ac:dyDescent="0.3"/>
  <cols>
    <col min="1" max="1" width="17.1796875" style="241" bestFit="1" customWidth="1"/>
    <col min="2" max="3" width="8.7265625" style="241"/>
    <col min="4" max="4" width="10.26953125" style="241" bestFit="1" customWidth="1"/>
    <col min="5" max="16384" width="8.7265625" style="241"/>
  </cols>
  <sheetData>
    <row r="1" spans="1:10" x14ac:dyDescent="0.3">
      <c r="A1" s="253" t="s">
        <v>102</v>
      </c>
      <c r="B1" s="238" t="s">
        <v>103</v>
      </c>
      <c r="C1" s="254" t="s">
        <v>104</v>
      </c>
      <c r="D1" s="252" t="s">
        <v>532</v>
      </c>
      <c r="E1" s="252" t="s">
        <v>529</v>
      </c>
      <c r="F1" s="252" t="s">
        <v>533</v>
      </c>
      <c r="G1" s="252" t="s">
        <v>107</v>
      </c>
      <c r="H1" s="252" t="s">
        <v>323</v>
      </c>
      <c r="I1" s="252" t="s">
        <v>531</v>
      </c>
      <c r="J1" s="259" t="s">
        <v>530</v>
      </c>
    </row>
    <row r="2" spans="1:10" ht="13.5" thickBot="1" x14ac:dyDescent="0.35">
      <c r="A2" s="255" t="s">
        <v>121</v>
      </c>
      <c r="B2" s="256">
        <v>2553</v>
      </c>
      <c r="C2" s="257">
        <v>2878</v>
      </c>
      <c r="D2" s="257">
        <v>88.7</v>
      </c>
      <c r="E2" s="257">
        <v>341</v>
      </c>
      <c r="F2" s="257">
        <v>30.4</v>
      </c>
      <c r="G2" s="257">
        <v>0.24299999999999999</v>
      </c>
      <c r="H2" s="257">
        <v>93.1</v>
      </c>
      <c r="I2" s="257">
        <v>19.399999999999999</v>
      </c>
      <c r="J2" s="258">
        <v>1</v>
      </c>
    </row>
    <row r="3" spans="1:10" ht="13.5" thickBot="1" x14ac:dyDescent="0.35">
      <c r="A3" s="255" t="s">
        <v>137</v>
      </c>
      <c r="B3" s="256">
        <v>2378</v>
      </c>
      <c r="C3" s="257">
        <v>2893</v>
      </c>
      <c r="D3" s="257">
        <v>82.2</v>
      </c>
      <c r="E3" s="257">
        <v>361</v>
      </c>
      <c r="F3" s="257">
        <v>25.8</v>
      </c>
      <c r="G3" s="257">
        <v>0.252</v>
      </c>
      <c r="H3" s="257">
        <v>92.9</v>
      </c>
      <c r="I3" s="257">
        <v>15.7</v>
      </c>
      <c r="J3" s="258">
        <v>1</v>
      </c>
    </row>
    <row r="4" spans="1:10" ht="13.5" thickBot="1" x14ac:dyDescent="0.35">
      <c r="A4" s="255" t="s">
        <v>166</v>
      </c>
      <c r="B4" s="256">
        <v>2240</v>
      </c>
      <c r="C4" s="257">
        <v>2546</v>
      </c>
      <c r="D4" s="257">
        <v>88</v>
      </c>
      <c r="E4" s="257">
        <v>376</v>
      </c>
      <c r="F4" s="257">
        <v>25.2</v>
      </c>
      <c r="G4" s="257">
        <v>0.27800000000000002</v>
      </c>
      <c r="H4" s="257">
        <v>92.8</v>
      </c>
      <c r="I4" s="257">
        <v>11.7</v>
      </c>
      <c r="J4" s="258">
        <v>1</v>
      </c>
    </row>
    <row r="5" spans="1:10" ht="13.5" thickBot="1" x14ac:dyDescent="0.35">
      <c r="A5" s="255" t="s">
        <v>131</v>
      </c>
      <c r="B5" s="256">
        <v>2143</v>
      </c>
      <c r="C5" s="257">
        <v>2436</v>
      </c>
      <c r="D5" s="257">
        <v>88</v>
      </c>
      <c r="E5" s="257">
        <v>292</v>
      </c>
      <c r="F5" s="257">
        <v>25</v>
      </c>
      <c r="G5" s="257">
        <v>0.216</v>
      </c>
      <c r="H5" s="257">
        <v>90.1</v>
      </c>
      <c r="I5" s="257">
        <v>20.8</v>
      </c>
      <c r="J5" s="258">
        <v>1</v>
      </c>
    </row>
    <row r="6" spans="1:10" ht="13.5" thickBot="1" x14ac:dyDescent="0.35">
      <c r="A6" s="255" t="s">
        <v>116</v>
      </c>
      <c r="B6" s="256">
        <v>2119</v>
      </c>
      <c r="C6" s="257">
        <v>2268</v>
      </c>
      <c r="D6" s="257">
        <v>93.4</v>
      </c>
      <c r="E6" s="257">
        <v>458</v>
      </c>
      <c r="F6" s="257">
        <v>15.9</v>
      </c>
      <c r="G6" s="257">
        <v>0.28199999999999997</v>
      </c>
      <c r="H6" s="257">
        <v>91.1</v>
      </c>
      <c r="I6" s="257">
        <v>14</v>
      </c>
      <c r="J6" s="258">
        <v>1</v>
      </c>
    </row>
    <row r="7" spans="1:10" ht="13.5" thickBot="1" x14ac:dyDescent="0.35">
      <c r="A7" s="255" t="s">
        <v>156</v>
      </c>
      <c r="B7" s="256">
        <v>2084</v>
      </c>
      <c r="C7" s="257">
        <v>2301</v>
      </c>
      <c r="D7" s="257">
        <v>90.6</v>
      </c>
      <c r="E7" s="257">
        <v>328</v>
      </c>
      <c r="F7" s="257">
        <v>26.6</v>
      </c>
      <c r="G7" s="257">
        <v>0.215</v>
      </c>
      <c r="H7" s="257">
        <v>89.7</v>
      </c>
      <c r="I7" s="257">
        <v>19.8</v>
      </c>
      <c r="J7" s="258">
        <v>1</v>
      </c>
    </row>
    <row r="8" spans="1:10" ht="13.5" thickBot="1" x14ac:dyDescent="0.35">
      <c r="A8" s="255" t="s">
        <v>143</v>
      </c>
      <c r="B8" s="256">
        <v>2065</v>
      </c>
      <c r="C8" s="257">
        <v>2262</v>
      </c>
      <c r="D8" s="257">
        <v>91.3</v>
      </c>
      <c r="E8" s="257">
        <v>407</v>
      </c>
      <c r="F8" s="257">
        <v>15.5</v>
      </c>
      <c r="G8" s="257">
        <v>0.25600000000000001</v>
      </c>
      <c r="H8" s="257">
        <v>90.3</v>
      </c>
      <c r="I8" s="257">
        <v>19.899999999999999</v>
      </c>
      <c r="J8" s="258">
        <v>1</v>
      </c>
    </row>
    <row r="9" spans="1:10" ht="13.5" thickBot="1" x14ac:dyDescent="0.35">
      <c r="A9" s="255" t="s">
        <v>114</v>
      </c>
      <c r="B9" s="256">
        <v>1939</v>
      </c>
      <c r="C9" s="257">
        <v>2195</v>
      </c>
      <c r="D9" s="257">
        <v>88.3</v>
      </c>
      <c r="E9" s="257">
        <v>324</v>
      </c>
      <c r="F9" s="257">
        <v>19.100000000000001</v>
      </c>
      <c r="G9" s="257">
        <v>0.33800000000000002</v>
      </c>
      <c r="H9" s="257">
        <v>95.6</v>
      </c>
      <c r="I9" s="257">
        <v>11.7</v>
      </c>
      <c r="J9" s="258">
        <v>1</v>
      </c>
    </row>
    <row r="10" spans="1:10" ht="13.5" thickBot="1" x14ac:dyDescent="0.35">
      <c r="A10" s="255" t="s">
        <v>171</v>
      </c>
      <c r="B10" s="256">
        <v>1919</v>
      </c>
      <c r="C10" s="257">
        <v>2742</v>
      </c>
      <c r="D10" s="257">
        <v>70</v>
      </c>
      <c r="E10" s="257">
        <v>370</v>
      </c>
      <c r="F10" s="257">
        <v>11.6</v>
      </c>
      <c r="G10" s="257">
        <v>0.26100000000000001</v>
      </c>
      <c r="H10" s="257">
        <v>87.3</v>
      </c>
      <c r="I10" s="257">
        <v>21.9</v>
      </c>
      <c r="J10" s="258">
        <v>1</v>
      </c>
    </row>
    <row r="11" spans="1:10" ht="13.5" thickBot="1" x14ac:dyDescent="0.35">
      <c r="A11" s="255" t="s">
        <v>144</v>
      </c>
      <c r="B11" s="256">
        <v>1911</v>
      </c>
      <c r="C11" s="257">
        <v>2392</v>
      </c>
      <c r="D11" s="257">
        <v>79.900000000000006</v>
      </c>
      <c r="E11" s="257">
        <v>321</v>
      </c>
      <c r="F11" s="257">
        <v>20.9</v>
      </c>
      <c r="G11" s="257">
        <v>0.248</v>
      </c>
      <c r="H11" s="257">
        <v>91.6</v>
      </c>
      <c r="I11" s="257">
        <v>15.4</v>
      </c>
      <c r="J11" s="258">
        <v>1</v>
      </c>
    </row>
    <row r="12" spans="1:10" ht="13.5" thickBot="1" x14ac:dyDescent="0.35">
      <c r="A12" s="255" t="s">
        <v>138</v>
      </c>
      <c r="B12" s="256">
        <v>1894</v>
      </c>
      <c r="C12" s="257">
        <v>2198</v>
      </c>
      <c r="D12" s="257">
        <v>86.2</v>
      </c>
      <c r="E12" s="257">
        <v>315</v>
      </c>
      <c r="F12" s="257">
        <v>27.2</v>
      </c>
      <c r="G12" s="257">
        <v>0.253</v>
      </c>
      <c r="H12" s="257">
        <v>89</v>
      </c>
      <c r="I12" s="257">
        <v>15.5</v>
      </c>
      <c r="J12" s="258">
        <v>1</v>
      </c>
    </row>
    <row r="13" spans="1:10" ht="13.5" thickBot="1" x14ac:dyDescent="0.35">
      <c r="A13" s="255" t="s">
        <v>155</v>
      </c>
      <c r="B13" s="256">
        <v>1842</v>
      </c>
      <c r="C13" s="257">
        <v>2349</v>
      </c>
      <c r="D13" s="257">
        <v>78.400000000000006</v>
      </c>
      <c r="E13" s="257">
        <v>277</v>
      </c>
      <c r="F13" s="257">
        <v>27</v>
      </c>
      <c r="G13" s="257">
        <v>0.22</v>
      </c>
      <c r="H13" s="257">
        <v>88.8</v>
      </c>
      <c r="I13" s="257">
        <v>18.600000000000001</v>
      </c>
      <c r="J13" s="258">
        <v>1</v>
      </c>
    </row>
    <row r="14" spans="1:10" ht="13.5" thickBot="1" x14ac:dyDescent="0.35">
      <c r="A14" s="255" t="s">
        <v>124</v>
      </c>
      <c r="B14" s="256">
        <v>1759</v>
      </c>
      <c r="C14" s="257">
        <v>2112</v>
      </c>
      <c r="D14" s="257">
        <v>83.3</v>
      </c>
      <c r="E14" s="257">
        <v>296</v>
      </c>
      <c r="F14" s="257">
        <v>19.600000000000001</v>
      </c>
      <c r="G14" s="257">
        <v>0.22600000000000001</v>
      </c>
      <c r="H14" s="257">
        <v>89.7</v>
      </c>
      <c r="I14" s="257">
        <v>19.899999999999999</v>
      </c>
      <c r="J14" s="258">
        <v>1</v>
      </c>
    </row>
    <row r="15" spans="1:10" ht="13.5" thickBot="1" x14ac:dyDescent="0.35">
      <c r="A15" s="255" t="s">
        <v>153</v>
      </c>
      <c r="B15" s="256">
        <v>1750</v>
      </c>
      <c r="C15" s="257">
        <v>2196</v>
      </c>
      <c r="D15" s="257">
        <v>79.7</v>
      </c>
      <c r="E15" s="257">
        <v>251</v>
      </c>
      <c r="F15" s="257">
        <v>26.4</v>
      </c>
      <c r="G15" s="257">
        <v>0.216</v>
      </c>
      <c r="H15" s="257">
        <v>90.6</v>
      </c>
      <c r="I15" s="257">
        <v>17.7</v>
      </c>
      <c r="J15" s="258">
        <v>1</v>
      </c>
    </row>
    <row r="16" spans="1:10" ht="13.5" thickBot="1" x14ac:dyDescent="0.35">
      <c r="A16" s="255" t="s">
        <v>152</v>
      </c>
      <c r="B16" s="256">
        <v>1683</v>
      </c>
      <c r="C16" s="257">
        <v>2229</v>
      </c>
      <c r="D16" s="257">
        <v>75.5</v>
      </c>
      <c r="E16" s="257">
        <v>259</v>
      </c>
      <c r="F16" s="257">
        <v>20</v>
      </c>
      <c r="G16" s="257">
        <v>0.247</v>
      </c>
      <c r="H16" s="257">
        <v>87.9</v>
      </c>
      <c r="I16" s="257">
        <v>17.2</v>
      </c>
      <c r="J16" s="258">
        <v>1</v>
      </c>
    </row>
    <row r="17" spans="1:10" ht="13.5" thickBot="1" x14ac:dyDescent="0.35">
      <c r="A17" s="255" t="s">
        <v>163</v>
      </c>
      <c r="B17" s="256">
        <v>1666</v>
      </c>
      <c r="C17" s="257">
        <v>2102</v>
      </c>
      <c r="D17" s="257">
        <v>79.3</v>
      </c>
      <c r="E17" s="257">
        <v>216</v>
      </c>
      <c r="F17" s="257">
        <v>22</v>
      </c>
      <c r="G17" s="257">
        <v>0.25</v>
      </c>
      <c r="H17" s="257">
        <v>89.1</v>
      </c>
      <c r="I17" s="257">
        <v>17.600000000000001</v>
      </c>
      <c r="J17" s="258">
        <v>1</v>
      </c>
    </row>
    <row r="18" spans="1:10" ht="13.5" thickBot="1" x14ac:dyDescent="0.35">
      <c r="A18" s="255" t="s">
        <v>119</v>
      </c>
      <c r="B18" s="256">
        <v>1626</v>
      </c>
      <c r="C18" s="257">
        <v>1761</v>
      </c>
      <c r="D18" s="257">
        <v>92.3</v>
      </c>
      <c r="E18" s="257">
        <v>300</v>
      </c>
      <c r="F18" s="257">
        <v>22.8</v>
      </c>
      <c r="G18" s="257">
        <v>0.20300000000000001</v>
      </c>
      <c r="H18" s="257">
        <v>86.4</v>
      </c>
      <c r="I18" s="257">
        <v>21.7</v>
      </c>
      <c r="J18" s="258">
        <v>1</v>
      </c>
    </row>
    <row r="19" spans="1:10" ht="13.5" thickBot="1" x14ac:dyDescent="0.35">
      <c r="A19" s="255" t="s">
        <v>158</v>
      </c>
      <c r="B19" s="256">
        <v>1590</v>
      </c>
      <c r="C19" s="257">
        <v>2765</v>
      </c>
      <c r="D19" s="257">
        <v>57.5</v>
      </c>
      <c r="E19" s="257">
        <v>241</v>
      </c>
      <c r="F19" s="257">
        <v>15.1</v>
      </c>
      <c r="G19" s="257">
        <v>0.26500000000000001</v>
      </c>
      <c r="H19" s="257">
        <v>91.9</v>
      </c>
      <c r="I19" s="257">
        <v>10.1</v>
      </c>
      <c r="J19" s="258">
        <v>1</v>
      </c>
    </row>
    <row r="20" spans="1:10" ht="13.5" thickBot="1" x14ac:dyDescent="0.35">
      <c r="A20" s="255" t="s">
        <v>109</v>
      </c>
      <c r="B20" s="256">
        <v>1588</v>
      </c>
      <c r="C20" s="257">
        <v>1700</v>
      </c>
      <c r="D20" s="257">
        <v>93.4</v>
      </c>
      <c r="E20" s="257">
        <v>239</v>
      </c>
      <c r="F20" s="257">
        <v>32.6</v>
      </c>
      <c r="G20" s="257">
        <v>0.22</v>
      </c>
      <c r="H20" s="257">
        <v>90.8</v>
      </c>
      <c r="I20" s="257">
        <v>15.8</v>
      </c>
      <c r="J20" s="258">
        <v>1</v>
      </c>
    </row>
    <row r="21" spans="1:10" ht="13.5" thickBot="1" x14ac:dyDescent="0.35">
      <c r="A21" s="255" t="s">
        <v>120</v>
      </c>
      <c r="B21" s="256">
        <v>1562</v>
      </c>
      <c r="C21" s="257">
        <v>2618</v>
      </c>
      <c r="D21" s="257">
        <v>59.7</v>
      </c>
      <c r="E21" s="257">
        <v>288</v>
      </c>
      <c r="F21" s="257">
        <v>17.899999999999999</v>
      </c>
      <c r="G21" s="257">
        <v>0.245</v>
      </c>
      <c r="H21" s="257">
        <v>89.7</v>
      </c>
      <c r="I21" s="257">
        <v>23.8</v>
      </c>
      <c r="J21" s="258">
        <v>1</v>
      </c>
    </row>
    <row r="22" spans="1:10" ht="13.5" thickBot="1" x14ac:dyDescent="0.35">
      <c r="A22" s="255" t="s">
        <v>130</v>
      </c>
      <c r="B22" s="256">
        <v>1527</v>
      </c>
      <c r="C22" s="257">
        <v>1840</v>
      </c>
      <c r="D22" s="257">
        <v>83</v>
      </c>
      <c r="E22" s="257">
        <v>190</v>
      </c>
      <c r="F22" s="257">
        <v>30.7</v>
      </c>
      <c r="G22" s="257">
        <v>0.23300000000000001</v>
      </c>
      <c r="H22" s="257">
        <v>92.3</v>
      </c>
      <c r="I22" s="257">
        <v>9.4</v>
      </c>
      <c r="J22" s="258">
        <v>1</v>
      </c>
    </row>
    <row r="23" spans="1:10" ht="13.5" thickBot="1" x14ac:dyDescent="0.35">
      <c r="A23" s="255" t="s">
        <v>139</v>
      </c>
      <c r="B23" s="256">
        <v>1501</v>
      </c>
      <c r="C23" s="257">
        <v>1656</v>
      </c>
      <c r="D23" s="257">
        <v>90.6</v>
      </c>
      <c r="E23" s="257">
        <v>295</v>
      </c>
      <c r="F23" s="257">
        <v>14.5</v>
      </c>
      <c r="G23" s="257">
        <v>0.26800000000000002</v>
      </c>
      <c r="H23" s="257">
        <v>89.5</v>
      </c>
      <c r="I23" s="257">
        <v>10.8</v>
      </c>
      <c r="J23" s="258">
        <v>1</v>
      </c>
    </row>
    <row r="24" spans="1:10" ht="13.5" thickBot="1" x14ac:dyDescent="0.35">
      <c r="A24" s="255" t="s">
        <v>281</v>
      </c>
      <c r="B24" s="256">
        <v>1489</v>
      </c>
      <c r="C24" s="257">
        <v>1725</v>
      </c>
      <c r="D24" s="257">
        <v>86.3</v>
      </c>
      <c r="E24" s="257">
        <v>165</v>
      </c>
      <c r="F24" s="257">
        <v>40.299999999999997</v>
      </c>
      <c r="G24" s="257">
        <v>0.16500000000000001</v>
      </c>
      <c r="H24" s="257">
        <v>89.7</v>
      </c>
      <c r="I24" s="257">
        <v>24.3</v>
      </c>
      <c r="J24" s="258">
        <v>1</v>
      </c>
    </row>
    <row r="25" spans="1:10" ht="13.5" thickBot="1" x14ac:dyDescent="0.35">
      <c r="A25" s="255" t="s">
        <v>115</v>
      </c>
      <c r="B25" s="256">
        <v>1462</v>
      </c>
      <c r="C25" s="257">
        <v>2066</v>
      </c>
      <c r="D25" s="257">
        <v>70.8</v>
      </c>
      <c r="E25" s="257">
        <v>236</v>
      </c>
      <c r="F25" s="257">
        <v>20.3</v>
      </c>
      <c r="G25" s="257">
        <v>0.23899999999999999</v>
      </c>
      <c r="H25" s="257">
        <v>90.4</v>
      </c>
      <c r="I25" s="257">
        <v>17.7</v>
      </c>
      <c r="J25" s="258">
        <v>1</v>
      </c>
    </row>
    <row r="26" spans="1:10" ht="13.5" thickBot="1" x14ac:dyDescent="0.35">
      <c r="A26" s="255" t="s">
        <v>133</v>
      </c>
      <c r="B26" s="256">
        <v>1453</v>
      </c>
      <c r="C26" s="257">
        <v>2085</v>
      </c>
      <c r="D26" s="257">
        <v>69.7</v>
      </c>
      <c r="E26" s="257">
        <v>301</v>
      </c>
      <c r="F26" s="257">
        <v>20.399999999999999</v>
      </c>
      <c r="G26" s="257">
        <v>0.24399999999999999</v>
      </c>
      <c r="H26" s="257">
        <v>85.2</v>
      </c>
      <c r="I26" s="257">
        <v>11.8</v>
      </c>
      <c r="J26" s="258">
        <v>1</v>
      </c>
    </row>
    <row r="27" spans="1:10" ht="13.5" thickBot="1" x14ac:dyDescent="0.35">
      <c r="A27" s="255" t="s">
        <v>157</v>
      </c>
      <c r="B27" s="256">
        <v>1422</v>
      </c>
      <c r="C27" s="257">
        <v>2755</v>
      </c>
      <c r="D27" s="257">
        <v>51.6</v>
      </c>
      <c r="E27" s="257">
        <v>277</v>
      </c>
      <c r="F27" s="257">
        <v>14.4</v>
      </c>
      <c r="G27" s="257">
        <v>0.32800000000000001</v>
      </c>
      <c r="H27" s="257">
        <v>91.1</v>
      </c>
      <c r="I27" s="257">
        <v>13.6</v>
      </c>
      <c r="J27" s="258">
        <v>1</v>
      </c>
    </row>
    <row r="28" spans="1:10" ht="13.5" thickBot="1" x14ac:dyDescent="0.35">
      <c r="A28" s="255" t="s">
        <v>145</v>
      </c>
      <c r="B28" s="256">
        <v>1383</v>
      </c>
      <c r="C28" s="257">
        <v>2219</v>
      </c>
      <c r="D28" s="257">
        <v>62.3</v>
      </c>
      <c r="E28" s="257">
        <v>199</v>
      </c>
      <c r="F28" s="257">
        <v>28.7</v>
      </c>
      <c r="G28" s="257">
        <v>0.20899999999999999</v>
      </c>
      <c r="H28" s="257">
        <v>86</v>
      </c>
      <c r="I28" s="257">
        <v>13</v>
      </c>
      <c r="J28" s="258">
        <v>1</v>
      </c>
    </row>
    <row r="29" spans="1:10" ht="13.5" thickBot="1" x14ac:dyDescent="0.35">
      <c r="A29" s="255" t="s">
        <v>122</v>
      </c>
      <c r="B29" s="256">
        <v>1370</v>
      </c>
      <c r="C29" s="257">
        <v>1768</v>
      </c>
      <c r="D29" s="257">
        <v>77.5</v>
      </c>
      <c r="E29" s="257">
        <v>287</v>
      </c>
      <c r="F29" s="257">
        <v>17.3</v>
      </c>
      <c r="G29" s="257">
        <v>0.252</v>
      </c>
      <c r="H29" s="257">
        <v>89.6</v>
      </c>
      <c r="I29" s="257">
        <v>10.6</v>
      </c>
      <c r="J29" s="258">
        <v>1</v>
      </c>
    </row>
    <row r="30" spans="1:10" ht="13.5" thickBot="1" x14ac:dyDescent="0.35">
      <c r="A30" s="255" t="s">
        <v>128</v>
      </c>
      <c r="B30" s="256">
        <v>1364</v>
      </c>
      <c r="C30" s="257">
        <v>2017</v>
      </c>
      <c r="D30" s="257">
        <v>67.599999999999994</v>
      </c>
      <c r="E30" s="257">
        <v>187</v>
      </c>
      <c r="F30" s="257">
        <v>22.6</v>
      </c>
      <c r="G30" s="257">
        <v>0.214</v>
      </c>
      <c r="H30" s="257">
        <v>85.5</v>
      </c>
      <c r="I30" s="257">
        <v>14.5</v>
      </c>
      <c r="J30" s="258">
        <v>1</v>
      </c>
    </row>
    <row r="31" spans="1:10" ht="13.5" thickBot="1" x14ac:dyDescent="0.35">
      <c r="A31" s="255" t="s">
        <v>113</v>
      </c>
      <c r="B31" s="256">
        <v>1338</v>
      </c>
      <c r="C31" s="257">
        <v>1685</v>
      </c>
      <c r="D31" s="257">
        <v>79.400000000000006</v>
      </c>
      <c r="E31" s="257">
        <v>221</v>
      </c>
      <c r="F31" s="257">
        <v>21.5</v>
      </c>
      <c r="G31" s="257">
        <v>0.26500000000000001</v>
      </c>
      <c r="H31" s="257">
        <v>92.3</v>
      </c>
      <c r="I31" s="257">
        <v>16.2</v>
      </c>
      <c r="J31" s="258">
        <v>1</v>
      </c>
    </row>
    <row r="32" spans="1:10" ht="13.5" thickBot="1" x14ac:dyDescent="0.35">
      <c r="A32" s="255" t="s">
        <v>150</v>
      </c>
      <c r="B32" s="256">
        <v>1260</v>
      </c>
      <c r="C32" s="257">
        <v>1505</v>
      </c>
      <c r="D32" s="257">
        <v>83.7</v>
      </c>
      <c r="E32" s="257">
        <v>199</v>
      </c>
      <c r="F32" s="257">
        <v>24.5</v>
      </c>
      <c r="G32" s="257">
        <v>0.23300000000000001</v>
      </c>
      <c r="H32" s="257">
        <v>90.3</v>
      </c>
      <c r="I32" s="257">
        <v>15.4</v>
      </c>
      <c r="J32" s="258">
        <v>1</v>
      </c>
    </row>
    <row r="33" spans="1:10" ht="13.5" thickBot="1" x14ac:dyDescent="0.35">
      <c r="A33" s="255" t="s">
        <v>110</v>
      </c>
      <c r="B33" s="256">
        <v>1252</v>
      </c>
      <c r="C33" s="257">
        <v>2790</v>
      </c>
      <c r="D33" s="257">
        <v>44.9</v>
      </c>
      <c r="E33" s="257">
        <v>211</v>
      </c>
      <c r="F33" s="257">
        <v>16.3</v>
      </c>
      <c r="G33" s="257">
        <v>0.23799999999999999</v>
      </c>
      <c r="H33" s="257">
        <v>86.5</v>
      </c>
      <c r="I33" s="257">
        <v>15.3</v>
      </c>
      <c r="J33" s="258">
        <v>1</v>
      </c>
    </row>
    <row r="34" spans="1:10" ht="13.5" thickBot="1" x14ac:dyDescent="0.35">
      <c r="A34" s="255" t="s">
        <v>125</v>
      </c>
      <c r="B34" s="256">
        <v>1228</v>
      </c>
      <c r="C34" s="257">
        <v>1746</v>
      </c>
      <c r="D34" s="257">
        <v>70.3</v>
      </c>
      <c r="E34" s="257">
        <v>205</v>
      </c>
      <c r="F34" s="257">
        <v>30.8</v>
      </c>
      <c r="G34" s="257">
        <v>0.221</v>
      </c>
      <c r="H34" s="257">
        <v>89.3</v>
      </c>
      <c r="I34" s="257">
        <v>11.4</v>
      </c>
      <c r="J34" s="258">
        <v>1</v>
      </c>
    </row>
    <row r="35" spans="1:10" ht="13.5" thickBot="1" x14ac:dyDescent="0.35">
      <c r="A35" s="255" t="s">
        <v>123</v>
      </c>
      <c r="B35" s="256">
        <v>1226</v>
      </c>
      <c r="C35" s="257">
        <v>2460</v>
      </c>
      <c r="D35" s="257">
        <v>49.8</v>
      </c>
      <c r="E35" s="257">
        <v>243</v>
      </c>
      <c r="F35" s="257">
        <v>19.3</v>
      </c>
      <c r="G35" s="257">
        <v>0.23</v>
      </c>
      <c r="H35" s="257">
        <v>88.1</v>
      </c>
      <c r="I35" s="257">
        <v>18.5</v>
      </c>
      <c r="J35" s="258">
        <v>1</v>
      </c>
    </row>
    <row r="36" spans="1:10" ht="13.5" thickBot="1" x14ac:dyDescent="0.35">
      <c r="A36" s="255" t="s">
        <v>168</v>
      </c>
      <c r="B36" s="256">
        <v>1205</v>
      </c>
      <c r="C36" s="257">
        <v>2047</v>
      </c>
      <c r="D36" s="257">
        <v>58.9</v>
      </c>
      <c r="E36" s="257">
        <v>259</v>
      </c>
      <c r="F36" s="257">
        <v>13.5</v>
      </c>
      <c r="G36" s="257">
        <v>0.221</v>
      </c>
      <c r="H36" s="257">
        <v>82.9</v>
      </c>
      <c r="I36" s="257">
        <v>13</v>
      </c>
      <c r="J36" s="258">
        <v>1</v>
      </c>
    </row>
    <row r="37" spans="1:10" ht="13.5" thickBot="1" x14ac:dyDescent="0.35">
      <c r="A37" s="255" t="s">
        <v>149</v>
      </c>
      <c r="B37" s="256">
        <v>1204</v>
      </c>
      <c r="C37" s="257">
        <v>2232</v>
      </c>
      <c r="D37" s="257">
        <v>53.9</v>
      </c>
      <c r="E37" s="257">
        <v>237</v>
      </c>
      <c r="F37" s="257">
        <v>21.9</v>
      </c>
      <c r="G37" s="257">
        <v>0.28100000000000003</v>
      </c>
      <c r="H37" s="257">
        <v>94.2</v>
      </c>
      <c r="I37" s="257">
        <v>11.5</v>
      </c>
      <c r="J37" s="258">
        <v>1</v>
      </c>
    </row>
    <row r="38" spans="1:10" ht="13.5" thickBot="1" x14ac:dyDescent="0.35">
      <c r="A38" s="255" t="s">
        <v>140</v>
      </c>
      <c r="B38" s="256">
        <v>1196</v>
      </c>
      <c r="C38" s="257">
        <v>1642</v>
      </c>
      <c r="D38" s="257">
        <v>72.8</v>
      </c>
      <c r="E38" s="257">
        <v>187</v>
      </c>
      <c r="F38" s="257">
        <v>29.4</v>
      </c>
      <c r="G38" s="257">
        <v>0.23</v>
      </c>
      <c r="H38" s="257">
        <v>91.4</v>
      </c>
      <c r="I38" s="257">
        <v>21.5</v>
      </c>
      <c r="J38" s="258">
        <v>1</v>
      </c>
    </row>
    <row r="39" spans="1:10" ht="13.5" thickBot="1" x14ac:dyDescent="0.35">
      <c r="A39" s="255" t="s">
        <v>132</v>
      </c>
      <c r="B39" s="256">
        <v>1195</v>
      </c>
      <c r="C39" s="257">
        <v>2009</v>
      </c>
      <c r="D39" s="257">
        <v>59.5</v>
      </c>
      <c r="E39" s="257">
        <v>197</v>
      </c>
      <c r="F39" s="257">
        <v>15.2</v>
      </c>
      <c r="G39" s="257">
        <v>0.26800000000000002</v>
      </c>
      <c r="H39" s="257">
        <v>88.1</v>
      </c>
      <c r="I39" s="257">
        <v>16.3</v>
      </c>
      <c r="J39" s="258">
        <v>1</v>
      </c>
    </row>
    <row r="40" spans="1:10" ht="13.5" thickBot="1" x14ac:dyDescent="0.35">
      <c r="A40" s="255" t="s">
        <v>129</v>
      </c>
      <c r="B40" s="256">
        <v>1189</v>
      </c>
      <c r="C40" s="257">
        <v>1594</v>
      </c>
      <c r="D40" s="257">
        <v>74.599999999999994</v>
      </c>
      <c r="E40" s="257">
        <v>221</v>
      </c>
      <c r="F40" s="257">
        <v>19.7</v>
      </c>
      <c r="G40" s="257">
        <v>0.29799999999999999</v>
      </c>
      <c r="H40" s="257">
        <v>91.1</v>
      </c>
      <c r="I40" s="257">
        <v>11.2</v>
      </c>
      <c r="J40" s="258">
        <v>1</v>
      </c>
    </row>
    <row r="41" spans="1:10" ht="13.5" thickBot="1" x14ac:dyDescent="0.35">
      <c r="A41" s="255" t="s">
        <v>118</v>
      </c>
      <c r="B41" s="256">
        <v>1189</v>
      </c>
      <c r="C41" s="257">
        <v>2572</v>
      </c>
      <c r="D41" s="257">
        <v>46.2</v>
      </c>
      <c r="E41" s="257">
        <v>210</v>
      </c>
      <c r="F41" s="257">
        <v>21.2</v>
      </c>
      <c r="G41" s="257">
        <v>0.26500000000000001</v>
      </c>
      <c r="H41" s="257">
        <v>90.1</v>
      </c>
      <c r="I41" s="257">
        <v>12</v>
      </c>
      <c r="J41" s="258">
        <v>1</v>
      </c>
    </row>
    <row r="42" spans="1:10" ht="13.5" thickBot="1" x14ac:dyDescent="0.35">
      <c r="A42" s="255" t="s">
        <v>127</v>
      </c>
      <c r="B42" s="256">
        <v>1180</v>
      </c>
      <c r="C42" s="257">
        <v>2829</v>
      </c>
      <c r="D42" s="257">
        <v>41.7</v>
      </c>
      <c r="E42" s="257">
        <v>206</v>
      </c>
      <c r="F42" s="257">
        <v>22.7</v>
      </c>
      <c r="G42" s="257">
        <v>0.252</v>
      </c>
      <c r="H42" s="257">
        <v>89</v>
      </c>
      <c r="I42" s="257">
        <v>12.5</v>
      </c>
      <c r="J42" s="258">
        <v>1</v>
      </c>
    </row>
    <row r="43" spans="1:10" ht="13.5" thickBot="1" x14ac:dyDescent="0.35">
      <c r="A43" s="255" t="s">
        <v>111</v>
      </c>
      <c r="B43" s="256">
        <v>1146</v>
      </c>
      <c r="C43" s="257">
        <v>2303</v>
      </c>
      <c r="D43" s="257">
        <v>49.8</v>
      </c>
      <c r="E43" s="257">
        <v>214</v>
      </c>
      <c r="F43" s="257">
        <v>23.8</v>
      </c>
      <c r="G43" s="257">
        <v>0.245</v>
      </c>
      <c r="H43" s="257">
        <v>88.3</v>
      </c>
      <c r="I43" s="257">
        <v>14.5</v>
      </c>
      <c r="J43" s="258">
        <v>1</v>
      </c>
    </row>
    <row r="44" spans="1:10" ht="13.5" thickBot="1" x14ac:dyDescent="0.35">
      <c r="A44" s="255" t="s">
        <v>229</v>
      </c>
      <c r="B44" s="256">
        <v>1138</v>
      </c>
      <c r="C44" s="257">
        <v>2089</v>
      </c>
      <c r="D44" s="257">
        <v>54.5</v>
      </c>
      <c r="E44" s="257">
        <v>198</v>
      </c>
      <c r="F44" s="257">
        <v>22.2</v>
      </c>
      <c r="G44" s="257">
        <v>0.246</v>
      </c>
      <c r="H44" s="257">
        <v>89.8</v>
      </c>
      <c r="I44" s="257">
        <v>20.100000000000001</v>
      </c>
      <c r="J44" s="258">
        <v>1</v>
      </c>
    </row>
    <row r="45" spans="1:10" ht="13.5" thickBot="1" x14ac:dyDescent="0.35">
      <c r="A45" s="255" t="s">
        <v>147</v>
      </c>
      <c r="B45" s="256">
        <v>1134</v>
      </c>
      <c r="C45" s="257">
        <v>2559</v>
      </c>
      <c r="D45" s="257">
        <v>44.3</v>
      </c>
      <c r="E45" s="257">
        <v>172</v>
      </c>
      <c r="F45" s="257">
        <v>27</v>
      </c>
      <c r="G45" s="257">
        <v>0.246</v>
      </c>
      <c r="H45" s="257">
        <v>92.2</v>
      </c>
      <c r="I45" s="257">
        <v>11.8</v>
      </c>
      <c r="J45" s="258">
        <v>1</v>
      </c>
    </row>
    <row r="46" spans="1:10" ht="13.5" thickBot="1" x14ac:dyDescent="0.35">
      <c r="A46" s="255" t="s">
        <v>154</v>
      </c>
      <c r="B46" s="256">
        <v>1127</v>
      </c>
      <c r="C46" s="257">
        <v>1900</v>
      </c>
      <c r="D46" s="257">
        <v>59.3</v>
      </c>
      <c r="E46" s="257">
        <v>147</v>
      </c>
      <c r="F46" s="257">
        <v>24.1</v>
      </c>
      <c r="G46" s="257">
        <v>0.25</v>
      </c>
      <c r="H46" s="257">
        <v>90.5</v>
      </c>
      <c r="I46" s="257">
        <v>20.399999999999999</v>
      </c>
      <c r="J46" s="258">
        <v>1</v>
      </c>
    </row>
    <row r="47" spans="1:10" ht="13.5" thickBot="1" x14ac:dyDescent="0.35">
      <c r="A47" s="255" t="s">
        <v>231</v>
      </c>
      <c r="B47" s="256">
        <v>1117</v>
      </c>
      <c r="C47" s="257">
        <v>1572</v>
      </c>
      <c r="D47" s="257">
        <v>71.099999999999994</v>
      </c>
      <c r="E47" s="257">
        <v>141</v>
      </c>
      <c r="F47" s="257">
        <v>34.5</v>
      </c>
      <c r="G47" s="257">
        <v>0.20699999999999999</v>
      </c>
      <c r="H47" s="257">
        <v>89.5</v>
      </c>
      <c r="I47" s="257">
        <v>15.7</v>
      </c>
      <c r="J47" s="258">
        <v>1</v>
      </c>
    </row>
    <row r="48" spans="1:10" ht="13.5" thickBot="1" x14ac:dyDescent="0.35">
      <c r="A48" s="255" t="s">
        <v>159</v>
      </c>
      <c r="B48" s="256">
        <v>1081</v>
      </c>
      <c r="C48" s="257">
        <v>1942</v>
      </c>
      <c r="D48" s="257">
        <v>55.7</v>
      </c>
      <c r="E48" s="257">
        <v>164</v>
      </c>
      <c r="F48" s="257">
        <v>29.5</v>
      </c>
      <c r="G48" s="257">
        <v>0.16800000000000001</v>
      </c>
      <c r="H48" s="257">
        <v>86.2</v>
      </c>
      <c r="I48" s="257">
        <v>22.6</v>
      </c>
      <c r="J48" s="258">
        <v>1</v>
      </c>
    </row>
    <row r="49" spans="1:10" ht="13.5" thickBot="1" x14ac:dyDescent="0.35">
      <c r="A49" s="255" t="s">
        <v>117</v>
      </c>
      <c r="B49" s="256">
        <v>1075</v>
      </c>
      <c r="C49" s="257">
        <v>1725</v>
      </c>
      <c r="D49" s="257">
        <v>62.3</v>
      </c>
      <c r="E49" s="257">
        <v>177</v>
      </c>
      <c r="F49" s="257">
        <v>27.3</v>
      </c>
      <c r="G49" s="257">
        <v>0.22</v>
      </c>
      <c r="H49" s="257">
        <v>89.1</v>
      </c>
      <c r="I49" s="257">
        <v>17.7</v>
      </c>
      <c r="J49" s="258">
        <v>1</v>
      </c>
    </row>
    <row r="50" spans="1:10" ht="13.5" thickBot="1" x14ac:dyDescent="0.35">
      <c r="A50" s="255" t="s">
        <v>161</v>
      </c>
      <c r="B50" s="256">
        <v>1060</v>
      </c>
      <c r="C50" s="257">
        <v>1699</v>
      </c>
      <c r="D50" s="257">
        <v>62.4</v>
      </c>
      <c r="E50" s="257">
        <v>179</v>
      </c>
      <c r="F50" s="257">
        <v>22.6</v>
      </c>
      <c r="G50" s="257">
        <v>0.20799999999999999</v>
      </c>
      <c r="H50" s="257">
        <v>87.8</v>
      </c>
      <c r="I50" s="257">
        <v>16.899999999999999</v>
      </c>
      <c r="J50" s="258">
        <v>1</v>
      </c>
    </row>
    <row r="51" spans="1:10" ht="13.5" thickBot="1" x14ac:dyDescent="0.35">
      <c r="A51" s="255" t="s">
        <v>146</v>
      </c>
      <c r="B51" s="256">
        <v>1051</v>
      </c>
      <c r="C51" s="257">
        <v>1282</v>
      </c>
      <c r="D51" s="257">
        <v>82</v>
      </c>
      <c r="E51" s="257">
        <v>144</v>
      </c>
      <c r="F51" s="257">
        <v>28.3</v>
      </c>
      <c r="G51" s="257">
        <v>0.19</v>
      </c>
      <c r="H51" s="257">
        <v>87.8</v>
      </c>
      <c r="I51" s="257">
        <v>21.6</v>
      </c>
      <c r="J51" s="258">
        <v>1</v>
      </c>
    </row>
    <row r="52" spans="1:10" ht="13.5" thickBot="1" x14ac:dyDescent="0.35">
      <c r="A52" s="255" t="s">
        <v>249</v>
      </c>
      <c r="B52" s="256">
        <v>1014</v>
      </c>
      <c r="C52" s="257">
        <v>1194</v>
      </c>
      <c r="D52" s="257">
        <v>84.9</v>
      </c>
      <c r="E52" s="257">
        <v>140</v>
      </c>
      <c r="F52" s="257">
        <v>28.7</v>
      </c>
      <c r="G52" s="257">
        <v>0.219</v>
      </c>
      <c r="H52" s="257">
        <v>86.7</v>
      </c>
      <c r="I52" s="257">
        <v>21.9</v>
      </c>
      <c r="J52" s="258">
        <v>1</v>
      </c>
    </row>
    <row r="53" spans="1:10" ht="13.5" thickBot="1" x14ac:dyDescent="0.35">
      <c r="A53" s="255" t="s">
        <v>135</v>
      </c>
      <c r="B53" s="256">
        <v>993</v>
      </c>
      <c r="C53" s="257">
        <v>2505</v>
      </c>
      <c r="D53" s="257">
        <v>39.6</v>
      </c>
      <c r="E53" s="257">
        <v>171</v>
      </c>
      <c r="F53" s="257">
        <v>15</v>
      </c>
      <c r="G53" s="257">
        <v>0.26800000000000002</v>
      </c>
      <c r="H53" s="257">
        <v>89.3</v>
      </c>
      <c r="I53" s="257">
        <v>5.4</v>
      </c>
      <c r="J53" s="258">
        <v>1</v>
      </c>
    </row>
    <row r="54" spans="1:10" ht="13.5" thickBot="1" x14ac:dyDescent="0.35">
      <c r="A54" s="255" t="s">
        <v>170</v>
      </c>
      <c r="B54" s="256">
        <v>975</v>
      </c>
      <c r="C54" s="257">
        <v>1039</v>
      </c>
      <c r="D54" s="257">
        <v>93.8</v>
      </c>
      <c r="E54" s="257">
        <v>207</v>
      </c>
      <c r="F54" s="257">
        <v>12</v>
      </c>
      <c r="G54" s="257">
        <v>0.28499999999999998</v>
      </c>
      <c r="H54" s="257">
        <v>90.5</v>
      </c>
      <c r="I54" s="257">
        <v>12.3</v>
      </c>
      <c r="J54" s="258">
        <v>1</v>
      </c>
    </row>
    <row r="55" spans="1:10" ht="13.5" thickBot="1" x14ac:dyDescent="0.35">
      <c r="A55" s="255" t="s">
        <v>164</v>
      </c>
      <c r="B55" s="256">
        <v>969</v>
      </c>
      <c r="C55" s="257">
        <v>2159</v>
      </c>
      <c r="D55" s="257">
        <v>44.9</v>
      </c>
      <c r="E55" s="257">
        <v>193</v>
      </c>
      <c r="F55" s="257">
        <v>17.7</v>
      </c>
      <c r="G55" s="257">
        <v>0.255</v>
      </c>
      <c r="H55" s="257">
        <v>89</v>
      </c>
      <c r="I55" s="257">
        <v>10</v>
      </c>
      <c r="J55" s="258">
        <v>1</v>
      </c>
    </row>
    <row r="56" spans="1:10" ht="13.5" thickBot="1" x14ac:dyDescent="0.35">
      <c r="A56" s="255" t="s">
        <v>172</v>
      </c>
      <c r="B56" s="256">
        <v>968</v>
      </c>
      <c r="C56" s="257">
        <v>2321</v>
      </c>
      <c r="D56" s="257">
        <v>41.7</v>
      </c>
      <c r="E56" s="257">
        <v>168</v>
      </c>
      <c r="F56" s="257">
        <v>29.8</v>
      </c>
      <c r="G56" s="257">
        <v>0.19900000000000001</v>
      </c>
      <c r="H56" s="257">
        <v>86.8</v>
      </c>
      <c r="I56" s="257">
        <v>12.4</v>
      </c>
      <c r="J56" s="258">
        <v>1</v>
      </c>
    </row>
    <row r="57" spans="1:10" ht="13.5" thickBot="1" x14ac:dyDescent="0.35">
      <c r="A57" s="255" t="s">
        <v>126</v>
      </c>
      <c r="B57" s="256">
        <v>957</v>
      </c>
      <c r="C57" s="257">
        <v>1759</v>
      </c>
      <c r="D57" s="257">
        <v>54.4</v>
      </c>
      <c r="E57" s="257">
        <v>170</v>
      </c>
      <c r="F57" s="257">
        <v>22.3</v>
      </c>
      <c r="G57" s="257">
        <v>0.21099999999999999</v>
      </c>
      <c r="H57" s="257">
        <v>87.1</v>
      </c>
      <c r="I57" s="257">
        <v>19.7</v>
      </c>
      <c r="J57" s="258">
        <v>1</v>
      </c>
    </row>
    <row r="58" spans="1:10" ht="13.5" thickBot="1" x14ac:dyDescent="0.35">
      <c r="A58" s="255" t="s">
        <v>258</v>
      </c>
      <c r="B58" s="256">
        <v>942</v>
      </c>
      <c r="C58" s="257">
        <v>1150</v>
      </c>
      <c r="D58" s="257">
        <v>81.900000000000006</v>
      </c>
      <c r="E58" s="257">
        <v>146</v>
      </c>
      <c r="F58" s="257">
        <v>24.8</v>
      </c>
      <c r="G58" s="257">
        <v>0.20100000000000001</v>
      </c>
      <c r="H58" s="257">
        <v>87.8</v>
      </c>
      <c r="I58" s="257">
        <v>21.5</v>
      </c>
      <c r="J58" s="258">
        <v>1</v>
      </c>
    </row>
    <row r="59" spans="1:10" ht="13.5" thickBot="1" x14ac:dyDescent="0.35">
      <c r="A59" s="255" t="s">
        <v>134</v>
      </c>
      <c r="B59" s="256">
        <v>942</v>
      </c>
      <c r="C59" s="257">
        <v>1538</v>
      </c>
      <c r="D59" s="257">
        <v>61.2</v>
      </c>
      <c r="E59" s="257">
        <v>214</v>
      </c>
      <c r="F59" s="257">
        <v>13</v>
      </c>
      <c r="G59" s="257">
        <v>0.28100000000000003</v>
      </c>
      <c r="H59" s="257">
        <v>89</v>
      </c>
      <c r="I59" s="257">
        <v>14.3</v>
      </c>
      <c r="J59" s="258">
        <v>1</v>
      </c>
    </row>
    <row r="60" spans="1:10" ht="13.5" thickBot="1" x14ac:dyDescent="0.35">
      <c r="A60" s="255" t="s">
        <v>210</v>
      </c>
      <c r="B60" s="256">
        <v>913</v>
      </c>
      <c r="C60" s="257">
        <v>1739</v>
      </c>
      <c r="D60" s="257">
        <v>52.5</v>
      </c>
      <c r="E60" s="257">
        <v>162</v>
      </c>
      <c r="F60" s="257">
        <v>22.9</v>
      </c>
      <c r="G60" s="257">
        <v>0.222</v>
      </c>
      <c r="H60" s="257">
        <v>87.8</v>
      </c>
      <c r="I60" s="257">
        <v>12.9</v>
      </c>
      <c r="J60" s="258">
        <v>1</v>
      </c>
    </row>
    <row r="61" spans="1:10" ht="13.5" thickBot="1" x14ac:dyDescent="0.35">
      <c r="A61" s="255" t="s">
        <v>265</v>
      </c>
      <c r="B61" s="256">
        <v>905</v>
      </c>
      <c r="C61" s="257">
        <v>1317</v>
      </c>
      <c r="D61" s="257">
        <v>68.7</v>
      </c>
      <c r="E61" s="257">
        <v>120</v>
      </c>
      <c r="F61" s="257">
        <v>36.299999999999997</v>
      </c>
      <c r="G61" s="257">
        <v>0.24299999999999999</v>
      </c>
      <c r="H61" s="257">
        <v>90.1</v>
      </c>
      <c r="I61" s="257">
        <v>20.2</v>
      </c>
      <c r="J61" s="258">
        <v>1</v>
      </c>
    </row>
    <row r="62" spans="1:10" ht="13.5" thickBot="1" x14ac:dyDescent="0.35">
      <c r="A62" s="255" t="s">
        <v>196</v>
      </c>
      <c r="B62" s="256">
        <v>900</v>
      </c>
      <c r="C62" s="257">
        <v>1573</v>
      </c>
      <c r="D62" s="257">
        <v>57.2</v>
      </c>
      <c r="E62" s="257">
        <v>144</v>
      </c>
      <c r="F62" s="257">
        <v>23.1</v>
      </c>
      <c r="G62" s="257">
        <v>0.217</v>
      </c>
      <c r="H62" s="257">
        <v>90.7</v>
      </c>
      <c r="I62" s="257">
        <v>12</v>
      </c>
      <c r="J62" s="258">
        <v>1</v>
      </c>
    </row>
    <row r="63" spans="1:10" ht="13.5" thickBot="1" x14ac:dyDescent="0.35">
      <c r="A63" s="255" t="s">
        <v>108</v>
      </c>
      <c r="B63" s="256">
        <v>848</v>
      </c>
      <c r="C63" s="257">
        <v>1004</v>
      </c>
      <c r="D63" s="257">
        <v>84.5</v>
      </c>
      <c r="E63" s="257">
        <v>148</v>
      </c>
      <c r="F63" s="257">
        <v>22.9</v>
      </c>
      <c r="G63" s="257">
        <v>0.23300000000000001</v>
      </c>
      <c r="H63" s="257">
        <v>89.5</v>
      </c>
      <c r="I63" s="257">
        <v>14.5</v>
      </c>
      <c r="J63" s="258">
        <v>1</v>
      </c>
    </row>
    <row r="64" spans="1:10" ht="13.5" thickBot="1" x14ac:dyDescent="0.35">
      <c r="A64" s="255" t="s">
        <v>165</v>
      </c>
      <c r="B64" s="256">
        <v>845</v>
      </c>
      <c r="C64" s="257">
        <v>2747</v>
      </c>
      <c r="D64" s="257">
        <v>30.8</v>
      </c>
      <c r="E64" s="257">
        <v>130</v>
      </c>
      <c r="F64" s="257">
        <v>21.7</v>
      </c>
      <c r="G64" s="257">
        <v>0.26800000000000002</v>
      </c>
      <c r="H64" s="257">
        <v>92</v>
      </c>
      <c r="I64" s="257">
        <v>4.2</v>
      </c>
      <c r="J64" s="258">
        <v>1</v>
      </c>
    </row>
    <row r="65" spans="1:10" ht="13.5" thickBot="1" x14ac:dyDescent="0.35">
      <c r="A65" s="255" t="s">
        <v>136</v>
      </c>
      <c r="B65" s="256">
        <v>834</v>
      </c>
      <c r="C65" s="257">
        <v>1387</v>
      </c>
      <c r="D65" s="257">
        <v>60.1</v>
      </c>
      <c r="E65" s="257">
        <v>168</v>
      </c>
      <c r="F65" s="257">
        <v>22.5</v>
      </c>
      <c r="G65" s="257">
        <v>0.219</v>
      </c>
      <c r="H65" s="257">
        <v>86.5</v>
      </c>
      <c r="I65" s="257">
        <v>6.7</v>
      </c>
      <c r="J65" s="258">
        <v>1</v>
      </c>
    </row>
    <row r="66" spans="1:10" ht="13.5" thickBot="1" x14ac:dyDescent="0.35">
      <c r="A66" s="255" t="s">
        <v>112</v>
      </c>
      <c r="B66" s="256">
        <v>831</v>
      </c>
      <c r="C66" s="257">
        <v>1010</v>
      </c>
      <c r="D66" s="257">
        <v>82.3</v>
      </c>
      <c r="E66" s="257">
        <v>151</v>
      </c>
      <c r="F66" s="257">
        <v>25.9</v>
      </c>
      <c r="G66" s="257">
        <v>0.189</v>
      </c>
      <c r="H66" s="257">
        <v>86.5</v>
      </c>
      <c r="I66" s="257">
        <v>13.8</v>
      </c>
      <c r="J66" s="258">
        <v>1</v>
      </c>
    </row>
    <row r="67" spans="1:10" ht="13.5" thickBot="1" x14ac:dyDescent="0.35">
      <c r="A67" s="255" t="s">
        <v>343</v>
      </c>
      <c r="B67" s="256">
        <v>809</v>
      </c>
      <c r="C67" s="257">
        <v>1029</v>
      </c>
      <c r="D67" s="257">
        <v>78.599999999999994</v>
      </c>
      <c r="E67" s="257">
        <v>109</v>
      </c>
      <c r="F67" s="257">
        <v>30.2</v>
      </c>
      <c r="G67" s="257">
        <v>0.17599999999999999</v>
      </c>
      <c r="H67" s="257">
        <v>86.9</v>
      </c>
      <c r="I67" s="257">
        <v>26.9</v>
      </c>
      <c r="J67" s="258">
        <v>1</v>
      </c>
    </row>
    <row r="68" spans="1:10" ht="13.5" thickBot="1" x14ac:dyDescent="0.35">
      <c r="A68" s="255" t="s">
        <v>284</v>
      </c>
      <c r="B68" s="256">
        <v>806</v>
      </c>
      <c r="C68" s="257">
        <v>982</v>
      </c>
      <c r="D68" s="257">
        <v>82.1</v>
      </c>
      <c r="E68" s="257">
        <v>93</v>
      </c>
      <c r="F68" s="257">
        <v>44.9</v>
      </c>
      <c r="G68" s="257">
        <v>0.157</v>
      </c>
      <c r="H68" s="257">
        <v>86.5</v>
      </c>
      <c r="I68" s="257">
        <v>17.899999999999999</v>
      </c>
      <c r="J68" s="258">
        <v>1</v>
      </c>
    </row>
    <row r="69" spans="1:10" ht="13.5" thickBot="1" x14ac:dyDescent="0.35">
      <c r="A69" s="255" t="s">
        <v>148</v>
      </c>
      <c r="B69" s="256">
        <v>785</v>
      </c>
      <c r="C69" s="257">
        <v>1830</v>
      </c>
      <c r="D69" s="257">
        <v>42.9</v>
      </c>
      <c r="E69" s="257">
        <v>151</v>
      </c>
      <c r="F69" s="257">
        <v>24.2</v>
      </c>
      <c r="G69" s="257">
        <v>0.23300000000000001</v>
      </c>
      <c r="H69" s="257">
        <v>90.1</v>
      </c>
      <c r="I69" s="257">
        <v>14.2</v>
      </c>
      <c r="J69" s="258">
        <v>1</v>
      </c>
    </row>
    <row r="70" spans="1:10" ht="13.5" thickBot="1" x14ac:dyDescent="0.35">
      <c r="A70" s="255" t="s">
        <v>191</v>
      </c>
      <c r="B70" s="256">
        <v>781</v>
      </c>
      <c r="C70" s="257">
        <v>1926</v>
      </c>
      <c r="D70" s="257">
        <v>40.6</v>
      </c>
      <c r="E70" s="257">
        <v>164</v>
      </c>
      <c r="F70" s="257">
        <v>18.600000000000001</v>
      </c>
      <c r="G70" s="257">
        <v>0.24199999999999999</v>
      </c>
      <c r="H70" s="257">
        <v>89.3</v>
      </c>
      <c r="I70" s="257">
        <v>13.5</v>
      </c>
      <c r="J70" s="258">
        <v>1</v>
      </c>
    </row>
    <row r="71" spans="1:10" ht="13.5" thickBot="1" x14ac:dyDescent="0.35">
      <c r="A71" s="255" t="s">
        <v>151</v>
      </c>
      <c r="B71" s="256">
        <v>774</v>
      </c>
      <c r="C71" s="257">
        <v>1550</v>
      </c>
      <c r="D71" s="257">
        <v>49.9</v>
      </c>
      <c r="E71" s="257">
        <v>153</v>
      </c>
      <c r="F71" s="257">
        <v>28.1</v>
      </c>
      <c r="G71" s="257">
        <v>0.22700000000000001</v>
      </c>
      <c r="H71" s="257">
        <v>90.2</v>
      </c>
      <c r="I71" s="257">
        <v>12.7</v>
      </c>
      <c r="J71" s="258">
        <v>1</v>
      </c>
    </row>
    <row r="72" spans="1:10" ht="13.5" thickBot="1" x14ac:dyDescent="0.35">
      <c r="A72" s="255" t="s">
        <v>142</v>
      </c>
      <c r="B72" s="256">
        <v>766</v>
      </c>
      <c r="C72" s="257">
        <v>2044</v>
      </c>
      <c r="D72" s="257">
        <v>37.5</v>
      </c>
      <c r="E72" s="257">
        <v>160</v>
      </c>
      <c r="F72" s="257">
        <v>21.7</v>
      </c>
      <c r="G72" s="257">
        <v>0.248</v>
      </c>
      <c r="H72" s="257">
        <v>87.2</v>
      </c>
      <c r="I72" s="257">
        <v>10.5</v>
      </c>
      <c r="J72" s="258">
        <v>1</v>
      </c>
    </row>
    <row r="73" spans="1:10" ht="13.5" thickBot="1" x14ac:dyDescent="0.35">
      <c r="A73" s="255" t="s">
        <v>162</v>
      </c>
      <c r="B73" s="256">
        <v>745</v>
      </c>
      <c r="C73" s="257">
        <v>1964</v>
      </c>
      <c r="D73" s="257">
        <v>37.9</v>
      </c>
      <c r="E73" s="257">
        <v>149</v>
      </c>
      <c r="F73" s="257">
        <v>16.2</v>
      </c>
      <c r="G73" s="257">
        <v>0.255</v>
      </c>
      <c r="H73" s="257">
        <v>86</v>
      </c>
      <c r="I73" s="257">
        <v>8.1999999999999993</v>
      </c>
      <c r="J73" s="258">
        <v>1</v>
      </c>
    </row>
    <row r="74" spans="1:10" ht="13.5" thickBot="1" x14ac:dyDescent="0.35">
      <c r="A74" s="255" t="s">
        <v>252</v>
      </c>
      <c r="B74" s="256">
        <v>734</v>
      </c>
      <c r="C74" s="257">
        <v>1091</v>
      </c>
      <c r="D74" s="257">
        <v>67.3</v>
      </c>
      <c r="E74" s="257">
        <v>112</v>
      </c>
      <c r="F74" s="257">
        <v>34.700000000000003</v>
      </c>
      <c r="G74" s="257">
        <v>0.22900000000000001</v>
      </c>
      <c r="H74" s="257">
        <v>88.4</v>
      </c>
      <c r="I74" s="257">
        <v>9.9</v>
      </c>
      <c r="J74" s="258">
        <v>1</v>
      </c>
    </row>
    <row r="75" spans="1:10" ht="13.5" thickBot="1" x14ac:dyDescent="0.35">
      <c r="A75" s="255" t="s">
        <v>246</v>
      </c>
      <c r="B75" s="256">
        <v>731</v>
      </c>
      <c r="C75" s="257">
        <v>950</v>
      </c>
      <c r="D75" s="257">
        <v>76.900000000000006</v>
      </c>
      <c r="E75" s="257">
        <v>109</v>
      </c>
      <c r="F75" s="257">
        <v>29.9</v>
      </c>
      <c r="G75" s="257">
        <v>0.221</v>
      </c>
      <c r="H75" s="257">
        <v>90.1</v>
      </c>
      <c r="I75" s="257">
        <v>14.9</v>
      </c>
      <c r="J75" s="258">
        <v>1</v>
      </c>
    </row>
    <row r="76" spans="1:10" ht="13.5" thickBot="1" x14ac:dyDescent="0.35">
      <c r="A76" s="255" t="s">
        <v>167</v>
      </c>
      <c r="B76" s="256">
        <v>726</v>
      </c>
      <c r="C76" s="257">
        <v>1818</v>
      </c>
      <c r="D76" s="257">
        <v>39.9</v>
      </c>
      <c r="E76" s="257">
        <v>158</v>
      </c>
      <c r="F76" s="257">
        <v>18.899999999999999</v>
      </c>
      <c r="G76" s="257">
        <v>0.216</v>
      </c>
      <c r="H76" s="257">
        <v>85.7</v>
      </c>
      <c r="I76" s="257">
        <v>8.3000000000000007</v>
      </c>
      <c r="J76" s="258">
        <v>1</v>
      </c>
    </row>
    <row r="77" spans="1:10" ht="13.5" thickBot="1" x14ac:dyDescent="0.35">
      <c r="A77" s="255" t="s">
        <v>226</v>
      </c>
      <c r="B77" s="256">
        <v>717</v>
      </c>
      <c r="C77" s="257">
        <v>1713</v>
      </c>
      <c r="D77" s="257">
        <v>41.9</v>
      </c>
      <c r="E77" s="257">
        <v>129</v>
      </c>
      <c r="F77" s="257">
        <v>25.8</v>
      </c>
      <c r="G77" s="257">
        <v>0.248</v>
      </c>
      <c r="H77" s="257">
        <v>89.9</v>
      </c>
      <c r="I77" s="257">
        <v>11.2</v>
      </c>
      <c r="J77" s="258">
        <v>1</v>
      </c>
    </row>
    <row r="78" spans="1:10" ht="13.5" thickBot="1" x14ac:dyDescent="0.35">
      <c r="A78" s="255" t="s">
        <v>264</v>
      </c>
      <c r="B78" s="256">
        <v>708</v>
      </c>
      <c r="C78" s="257">
        <v>2061</v>
      </c>
      <c r="D78" s="257">
        <v>34.4</v>
      </c>
      <c r="E78" s="257">
        <v>102</v>
      </c>
      <c r="F78" s="257">
        <v>26.7</v>
      </c>
      <c r="G78" s="257">
        <v>0.193</v>
      </c>
      <c r="H78" s="257">
        <v>81.8</v>
      </c>
      <c r="I78" s="257">
        <v>13.7</v>
      </c>
      <c r="J78" s="258">
        <v>1</v>
      </c>
    </row>
    <row r="79" spans="1:10" ht="13.5" thickBot="1" x14ac:dyDescent="0.35">
      <c r="A79" s="255" t="s">
        <v>141</v>
      </c>
      <c r="B79" s="256">
        <v>703</v>
      </c>
      <c r="C79" s="257">
        <v>2049</v>
      </c>
      <c r="D79" s="257">
        <v>34.299999999999997</v>
      </c>
      <c r="E79" s="257">
        <v>132</v>
      </c>
      <c r="F79" s="257">
        <v>22.8</v>
      </c>
      <c r="G79" s="257">
        <v>0.218</v>
      </c>
      <c r="H79" s="257">
        <v>84.5</v>
      </c>
      <c r="I79" s="257">
        <v>14.4</v>
      </c>
      <c r="J79" s="258">
        <v>1</v>
      </c>
    </row>
    <row r="80" spans="1:10" ht="13.5" thickBot="1" x14ac:dyDescent="0.35">
      <c r="A80" s="255" t="s">
        <v>262</v>
      </c>
      <c r="B80" s="256">
        <v>702</v>
      </c>
      <c r="C80" s="257">
        <v>1094</v>
      </c>
      <c r="D80" s="257">
        <v>64.2</v>
      </c>
      <c r="E80" s="257">
        <v>125</v>
      </c>
      <c r="F80" s="257">
        <v>28.4</v>
      </c>
      <c r="G80" s="257">
        <v>0.20300000000000001</v>
      </c>
      <c r="H80" s="257">
        <v>87.4</v>
      </c>
      <c r="I80" s="257">
        <v>19</v>
      </c>
      <c r="J80" s="258">
        <v>1</v>
      </c>
    </row>
    <row r="81" spans="1:10" ht="13.5" thickBot="1" x14ac:dyDescent="0.35">
      <c r="A81" s="255" t="s">
        <v>195</v>
      </c>
      <c r="B81" s="256">
        <v>691</v>
      </c>
      <c r="C81" s="257">
        <v>1844</v>
      </c>
      <c r="D81" s="257">
        <v>37.5</v>
      </c>
      <c r="E81" s="257">
        <v>121</v>
      </c>
      <c r="F81" s="257">
        <v>25.3</v>
      </c>
      <c r="G81" s="257">
        <v>0.248</v>
      </c>
      <c r="H81" s="257">
        <v>89.4</v>
      </c>
      <c r="I81" s="257">
        <v>9.1</v>
      </c>
      <c r="J81" s="258">
        <v>1</v>
      </c>
    </row>
    <row r="82" spans="1:10" ht="13.5" thickBot="1" x14ac:dyDescent="0.35">
      <c r="A82" s="255" t="s">
        <v>192</v>
      </c>
      <c r="B82" s="256">
        <v>688</v>
      </c>
      <c r="C82" s="257">
        <v>1459</v>
      </c>
      <c r="D82" s="257">
        <v>47.2</v>
      </c>
      <c r="E82" s="257">
        <v>105</v>
      </c>
      <c r="F82" s="257">
        <v>38</v>
      </c>
      <c r="G82" s="257">
        <v>0.20799999999999999</v>
      </c>
      <c r="H82" s="257">
        <v>91.3</v>
      </c>
      <c r="I82" s="257">
        <v>10.5</v>
      </c>
      <c r="J82" s="258">
        <v>1</v>
      </c>
    </row>
    <row r="83" spans="1:10" ht="13.5" thickBot="1" x14ac:dyDescent="0.35">
      <c r="A83" s="255" t="s">
        <v>271</v>
      </c>
      <c r="B83" s="256">
        <v>687</v>
      </c>
      <c r="C83" s="257">
        <v>732</v>
      </c>
      <c r="D83" s="257">
        <v>93.9</v>
      </c>
      <c r="E83" s="257">
        <v>98</v>
      </c>
      <c r="F83" s="257">
        <v>32.299999999999997</v>
      </c>
      <c r="G83" s="257">
        <v>0.17199999999999999</v>
      </c>
      <c r="H83" s="257">
        <v>88.6</v>
      </c>
      <c r="I83" s="257">
        <v>13.6</v>
      </c>
      <c r="J83" s="258">
        <v>1</v>
      </c>
    </row>
    <row r="84" spans="1:10" ht="13.5" thickBot="1" x14ac:dyDescent="0.35">
      <c r="A84" s="255" t="s">
        <v>198</v>
      </c>
      <c r="B84" s="256">
        <v>683</v>
      </c>
      <c r="C84" s="257">
        <v>985</v>
      </c>
      <c r="D84" s="257">
        <v>69.3</v>
      </c>
      <c r="E84" s="257">
        <v>118</v>
      </c>
      <c r="F84" s="257">
        <v>24.4</v>
      </c>
      <c r="G84" s="257">
        <v>0.23400000000000001</v>
      </c>
      <c r="H84" s="257">
        <v>84.5</v>
      </c>
      <c r="I84" s="257">
        <v>14.4</v>
      </c>
      <c r="J84" s="258">
        <v>1</v>
      </c>
    </row>
    <row r="85" spans="1:10" ht="13.5" thickBot="1" x14ac:dyDescent="0.35">
      <c r="A85" s="255" t="s">
        <v>230</v>
      </c>
      <c r="B85" s="256">
        <v>674</v>
      </c>
      <c r="C85" s="257">
        <v>1389</v>
      </c>
      <c r="D85" s="257">
        <v>48.5</v>
      </c>
      <c r="E85" s="257">
        <v>119</v>
      </c>
      <c r="F85" s="257">
        <v>22.4</v>
      </c>
      <c r="G85" s="257">
        <v>0.24399999999999999</v>
      </c>
      <c r="H85" s="257">
        <v>89.8</v>
      </c>
      <c r="I85" s="257">
        <v>12.7</v>
      </c>
      <c r="J85" s="258">
        <v>1</v>
      </c>
    </row>
    <row r="86" spans="1:10" ht="13.5" thickBot="1" x14ac:dyDescent="0.35">
      <c r="A86" s="255" t="s">
        <v>193</v>
      </c>
      <c r="B86" s="256">
        <v>674</v>
      </c>
      <c r="C86" s="257">
        <v>914</v>
      </c>
      <c r="D86" s="257">
        <v>73.7</v>
      </c>
      <c r="E86" s="257">
        <v>119</v>
      </c>
      <c r="F86" s="257">
        <v>28</v>
      </c>
      <c r="G86" s="257">
        <v>0.186</v>
      </c>
      <c r="H86" s="257">
        <v>91</v>
      </c>
      <c r="I86" s="257">
        <v>13.7</v>
      </c>
      <c r="J86" s="258">
        <v>1</v>
      </c>
    </row>
    <row r="87" spans="1:10" ht="13.5" thickBot="1" x14ac:dyDescent="0.35">
      <c r="A87" s="255" t="s">
        <v>239</v>
      </c>
      <c r="B87" s="256">
        <v>672</v>
      </c>
      <c r="C87" s="257">
        <v>1340</v>
      </c>
      <c r="D87" s="257">
        <v>50.1</v>
      </c>
      <c r="E87" s="257">
        <v>133</v>
      </c>
      <c r="F87" s="257">
        <v>21</v>
      </c>
      <c r="G87" s="257">
        <v>0.20300000000000001</v>
      </c>
      <c r="H87" s="257">
        <v>85.7</v>
      </c>
      <c r="I87" s="257">
        <v>15.7</v>
      </c>
      <c r="J87" s="258">
        <v>1</v>
      </c>
    </row>
    <row r="88" spans="1:10" ht="13.5" thickBot="1" x14ac:dyDescent="0.35">
      <c r="A88" s="255" t="s">
        <v>251</v>
      </c>
      <c r="B88" s="256">
        <v>667</v>
      </c>
      <c r="C88" s="257">
        <v>870</v>
      </c>
      <c r="D88" s="257">
        <v>76.7</v>
      </c>
      <c r="E88" s="257">
        <v>97</v>
      </c>
      <c r="F88" s="257">
        <v>27.7</v>
      </c>
      <c r="G88" s="257">
        <v>0.221</v>
      </c>
      <c r="H88" s="257">
        <v>90.9</v>
      </c>
      <c r="I88" s="257">
        <v>11.6</v>
      </c>
      <c r="J88" s="258">
        <v>1</v>
      </c>
    </row>
    <row r="89" spans="1:10" ht="13.5" thickBot="1" x14ac:dyDescent="0.35">
      <c r="A89" s="255" t="s">
        <v>160</v>
      </c>
      <c r="B89" s="256">
        <v>655</v>
      </c>
      <c r="C89" s="257">
        <v>1483</v>
      </c>
      <c r="D89" s="257">
        <v>44.2</v>
      </c>
      <c r="E89" s="257">
        <v>136</v>
      </c>
      <c r="F89" s="257">
        <v>20.9</v>
      </c>
      <c r="G89" s="257">
        <v>0.23400000000000001</v>
      </c>
      <c r="H89" s="257">
        <v>88.1</v>
      </c>
      <c r="I89" s="257">
        <v>1.4</v>
      </c>
      <c r="J89" s="258">
        <v>1</v>
      </c>
    </row>
    <row r="90" spans="1:10" ht="13.5" thickBot="1" x14ac:dyDescent="0.35">
      <c r="A90" s="255" t="s">
        <v>278</v>
      </c>
      <c r="B90" s="256">
        <v>652</v>
      </c>
      <c r="C90" s="257">
        <v>714</v>
      </c>
      <c r="D90" s="257">
        <v>91.3</v>
      </c>
      <c r="E90" s="257">
        <v>114</v>
      </c>
      <c r="F90" s="257">
        <v>25</v>
      </c>
      <c r="G90" s="257">
        <v>0.20300000000000001</v>
      </c>
      <c r="H90" s="257">
        <v>86.2</v>
      </c>
      <c r="I90" s="257">
        <v>20.5</v>
      </c>
      <c r="J90" s="258">
        <v>1</v>
      </c>
    </row>
    <row r="91" spans="1:10" ht="13.5" thickBot="1" x14ac:dyDescent="0.35">
      <c r="A91" s="255" t="s">
        <v>197</v>
      </c>
      <c r="B91" s="256">
        <v>650</v>
      </c>
      <c r="C91" s="257">
        <v>1174</v>
      </c>
      <c r="D91" s="257">
        <v>55.4</v>
      </c>
      <c r="E91" s="257">
        <v>119</v>
      </c>
      <c r="F91" s="257">
        <v>23.9</v>
      </c>
      <c r="G91" s="257">
        <v>0.191</v>
      </c>
      <c r="H91" s="257">
        <v>83.2</v>
      </c>
      <c r="I91" s="257">
        <v>10.4</v>
      </c>
      <c r="J91" s="258">
        <v>1</v>
      </c>
    </row>
    <row r="92" spans="1:10" ht="13.5" thickBot="1" x14ac:dyDescent="0.35">
      <c r="A92" s="255" t="s">
        <v>283</v>
      </c>
      <c r="B92" s="256">
        <v>635</v>
      </c>
      <c r="C92" s="257">
        <v>992</v>
      </c>
      <c r="D92" s="257">
        <v>64</v>
      </c>
      <c r="E92" s="257">
        <v>110</v>
      </c>
      <c r="F92" s="257">
        <v>22.3</v>
      </c>
      <c r="G92" s="257">
        <v>0.20699999999999999</v>
      </c>
      <c r="H92" s="257">
        <v>85.9</v>
      </c>
      <c r="I92" s="257">
        <v>22.2</v>
      </c>
      <c r="J92" s="258">
        <v>1</v>
      </c>
    </row>
    <row r="93" spans="1:10" ht="13.5" thickBot="1" x14ac:dyDescent="0.35">
      <c r="A93" s="255" t="s">
        <v>238</v>
      </c>
      <c r="B93" s="256">
        <v>635</v>
      </c>
      <c r="C93" s="257">
        <v>1391</v>
      </c>
      <c r="D93" s="257">
        <v>45.7</v>
      </c>
      <c r="E93" s="257">
        <v>115</v>
      </c>
      <c r="F93" s="257">
        <v>24</v>
      </c>
      <c r="G93" s="257">
        <v>0.245</v>
      </c>
      <c r="H93" s="257">
        <v>90.5</v>
      </c>
      <c r="I93" s="257">
        <v>13.1</v>
      </c>
      <c r="J93" s="258">
        <v>1</v>
      </c>
    </row>
    <row r="94" spans="1:10" ht="13.5" thickBot="1" x14ac:dyDescent="0.35">
      <c r="A94" s="255" t="s">
        <v>224</v>
      </c>
      <c r="B94" s="256">
        <v>634</v>
      </c>
      <c r="C94" s="257">
        <v>1027</v>
      </c>
      <c r="D94" s="257">
        <v>61.7</v>
      </c>
      <c r="E94" s="257">
        <v>107</v>
      </c>
      <c r="F94" s="257">
        <v>21.2</v>
      </c>
      <c r="G94" s="257">
        <v>0.24399999999999999</v>
      </c>
      <c r="H94" s="257">
        <v>87.8</v>
      </c>
      <c r="I94" s="257">
        <v>16.8</v>
      </c>
      <c r="J94" s="258">
        <v>1</v>
      </c>
    </row>
    <row r="95" spans="1:10" ht="13.5" thickBot="1" x14ac:dyDescent="0.35">
      <c r="A95" s="255" t="s">
        <v>255</v>
      </c>
      <c r="B95" s="256">
        <v>632</v>
      </c>
      <c r="C95" s="257">
        <v>719</v>
      </c>
      <c r="D95" s="257">
        <v>87.9</v>
      </c>
      <c r="E95" s="257">
        <v>113</v>
      </c>
      <c r="F95" s="257">
        <v>25.3</v>
      </c>
      <c r="G95" s="257">
        <v>0.24399999999999999</v>
      </c>
      <c r="H95" s="257">
        <v>86.9</v>
      </c>
      <c r="I95" s="257">
        <v>14.1</v>
      </c>
      <c r="J95" s="258">
        <v>1</v>
      </c>
    </row>
    <row r="96" spans="1:10" ht="13.5" thickBot="1" x14ac:dyDescent="0.35">
      <c r="A96" s="255" t="s">
        <v>268</v>
      </c>
      <c r="B96" s="256">
        <v>630</v>
      </c>
      <c r="C96" s="257">
        <v>794</v>
      </c>
      <c r="D96" s="257">
        <v>79.3</v>
      </c>
      <c r="E96" s="257">
        <v>123</v>
      </c>
      <c r="F96" s="257">
        <v>16.600000000000001</v>
      </c>
      <c r="G96" s="257">
        <v>0.22500000000000001</v>
      </c>
      <c r="H96" s="257">
        <v>87.7</v>
      </c>
      <c r="I96" s="257">
        <v>14.6</v>
      </c>
      <c r="J96" s="258">
        <v>1</v>
      </c>
    </row>
    <row r="97" spans="1:10" ht="13.5" thickBot="1" x14ac:dyDescent="0.35">
      <c r="A97" s="255" t="s">
        <v>344</v>
      </c>
      <c r="B97" s="256">
        <v>623</v>
      </c>
      <c r="C97" s="257">
        <v>1182</v>
      </c>
      <c r="D97" s="257">
        <v>52.7</v>
      </c>
      <c r="E97" s="257">
        <v>109</v>
      </c>
      <c r="F97" s="257">
        <v>21.3</v>
      </c>
      <c r="G97" s="257">
        <v>0.21</v>
      </c>
      <c r="H97" s="257">
        <v>86</v>
      </c>
      <c r="I97" s="257">
        <v>14.6</v>
      </c>
      <c r="J97" s="258">
        <v>1</v>
      </c>
    </row>
    <row r="98" spans="1:10" ht="13.5" thickBot="1" x14ac:dyDescent="0.35">
      <c r="A98" s="255" t="s">
        <v>345</v>
      </c>
      <c r="B98" s="256">
        <v>620</v>
      </c>
      <c r="C98" s="257">
        <v>1517</v>
      </c>
      <c r="D98" s="257">
        <v>40.9</v>
      </c>
      <c r="E98" s="257">
        <v>100</v>
      </c>
      <c r="F98" s="257">
        <v>27.7</v>
      </c>
      <c r="G98" s="257">
        <v>0.24299999999999999</v>
      </c>
      <c r="H98" s="257">
        <v>86.7</v>
      </c>
      <c r="I98" s="257">
        <v>19.600000000000001</v>
      </c>
      <c r="J98" s="258">
        <v>1</v>
      </c>
    </row>
    <row r="99" spans="1:10" ht="13.5" thickBot="1" x14ac:dyDescent="0.35">
      <c r="A99" s="255" t="s">
        <v>169</v>
      </c>
      <c r="B99" s="256">
        <v>611</v>
      </c>
      <c r="C99" s="257">
        <v>2328</v>
      </c>
      <c r="D99" s="257">
        <v>26.2</v>
      </c>
      <c r="E99" s="257">
        <v>115</v>
      </c>
      <c r="F99" s="257">
        <v>30.3</v>
      </c>
      <c r="G99" s="257">
        <v>0.21299999999999999</v>
      </c>
      <c r="H99" s="257">
        <v>87.1</v>
      </c>
      <c r="I99" s="257">
        <v>8.4</v>
      </c>
      <c r="J99" s="258">
        <v>1</v>
      </c>
    </row>
    <row r="100" spans="1:10" ht="13.5" thickBot="1" x14ac:dyDescent="0.35">
      <c r="A100" s="255" t="s">
        <v>346</v>
      </c>
      <c r="B100" s="256">
        <v>608</v>
      </c>
      <c r="C100" s="257">
        <v>723</v>
      </c>
      <c r="D100" s="257">
        <v>84.1</v>
      </c>
      <c r="E100" s="257">
        <v>82</v>
      </c>
      <c r="F100" s="257">
        <v>24.3</v>
      </c>
      <c r="G100" s="257">
        <v>0.221</v>
      </c>
      <c r="H100" s="257">
        <v>88.2</v>
      </c>
      <c r="I100" s="257">
        <v>20.8</v>
      </c>
      <c r="J100" s="258">
        <v>1</v>
      </c>
    </row>
    <row r="101" spans="1:10" ht="13.5" thickBot="1" x14ac:dyDescent="0.35">
      <c r="A101" s="255" t="s">
        <v>280</v>
      </c>
      <c r="B101" s="256">
        <v>606</v>
      </c>
      <c r="C101" s="257">
        <v>804</v>
      </c>
      <c r="D101" s="257">
        <v>75.400000000000006</v>
      </c>
      <c r="E101" s="257">
        <v>101</v>
      </c>
      <c r="F101" s="257">
        <v>24.8</v>
      </c>
      <c r="G101" s="257">
        <v>0.23499999999999999</v>
      </c>
      <c r="H101" s="257">
        <v>87.8</v>
      </c>
      <c r="I101" s="257">
        <v>11.5</v>
      </c>
      <c r="J101" s="258">
        <v>1</v>
      </c>
    </row>
    <row r="102" spans="1:10" ht="13.5" thickBot="1" x14ac:dyDescent="0.35">
      <c r="A102" s="255" t="s">
        <v>282</v>
      </c>
      <c r="B102" s="256">
        <v>599</v>
      </c>
      <c r="C102" s="257">
        <v>699</v>
      </c>
      <c r="D102" s="257">
        <v>85.7</v>
      </c>
      <c r="E102" s="257">
        <v>95</v>
      </c>
      <c r="F102" s="257">
        <v>30.6</v>
      </c>
      <c r="G102" s="257">
        <v>0.17499999999999999</v>
      </c>
      <c r="H102" s="257">
        <v>85.5</v>
      </c>
      <c r="I102" s="257">
        <v>19.2</v>
      </c>
      <c r="J102" s="258">
        <v>1</v>
      </c>
    </row>
    <row r="103" spans="1:10" ht="13.5" thickBot="1" x14ac:dyDescent="0.35">
      <c r="A103" s="255" t="s">
        <v>347</v>
      </c>
      <c r="B103" s="256">
        <v>587</v>
      </c>
      <c r="C103" s="257">
        <v>787</v>
      </c>
      <c r="D103" s="257">
        <v>74.599999999999994</v>
      </c>
      <c r="E103" s="257">
        <v>76</v>
      </c>
      <c r="F103" s="257">
        <v>33.1</v>
      </c>
      <c r="G103" s="257">
        <v>0.17899999999999999</v>
      </c>
      <c r="H103" s="257">
        <v>84.2</v>
      </c>
      <c r="I103" s="257">
        <v>17.899999999999999</v>
      </c>
      <c r="J103" s="258">
        <v>1</v>
      </c>
    </row>
    <row r="104" spans="1:10" ht="13.5" thickBot="1" x14ac:dyDescent="0.35">
      <c r="A104" s="255" t="s">
        <v>254</v>
      </c>
      <c r="B104" s="256">
        <v>585</v>
      </c>
      <c r="C104" s="257">
        <v>1074</v>
      </c>
      <c r="D104" s="257">
        <v>54.5</v>
      </c>
      <c r="E104" s="257">
        <v>105</v>
      </c>
      <c r="F104" s="257">
        <v>26.8</v>
      </c>
      <c r="G104" s="257">
        <v>0.216</v>
      </c>
      <c r="H104" s="257">
        <v>90.2</v>
      </c>
      <c r="I104" s="257">
        <v>10.4</v>
      </c>
      <c r="J104" s="258">
        <v>1</v>
      </c>
    </row>
    <row r="105" spans="1:10" ht="13.5" thickBot="1" x14ac:dyDescent="0.35">
      <c r="A105" s="255" t="s">
        <v>267</v>
      </c>
      <c r="B105" s="256">
        <v>580</v>
      </c>
      <c r="C105" s="257">
        <v>1109</v>
      </c>
      <c r="D105" s="257">
        <v>52.3</v>
      </c>
      <c r="E105" s="257">
        <v>82</v>
      </c>
      <c r="F105" s="257">
        <v>29</v>
      </c>
      <c r="G105" s="257">
        <v>0.20599999999999999</v>
      </c>
      <c r="H105" s="257">
        <v>88.5</v>
      </c>
      <c r="I105" s="257">
        <v>16.399999999999999</v>
      </c>
      <c r="J105" s="258">
        <v>1</v>
      </c>
    </row>
    <row r="106" spans="1:10" ht="13.5" thickBot="1" x14ac:dyDescent="0.35">
      <c r="A106" s="255" t="s">
        <v>263</v>
      </c>
      <c r="B106" s="256">
        <v>580</v>
      </c>
      <c r="C106" s="257">
        <v>967</v>
      </c>
      <c r="D106" s="257">
        <v>60</v>
      </c>
      <c r="E106" s="257">
        <v>122</v>
      </c>
      <c r="F106" s="257">
        <v>19.399999999999999</v>
      </c>
      <c r="G106" s="257">
        <v>0.23400000000000001</v>
      </c>
      <c r="H106" s="257">
        <v>85.8</v>
      </c>
      <c r="I106" s="257">
        <v>11.2</v>
      </c>
      <c r="J106" s="258">
        <v>1</v>
      </c>
    </row>
    <row r="107" spans="1:10" ht="13.5" thickBot="1" x14ac:dyDescent="0.35">
      <c r="A107" s="255" t="s">
        <v>348</v>
      </c>
      <c r="B107" s="256">
        <v>541</v>
      </c>
      <c r="C107" s="257">
        <v>1048</v>
      </c>
      <c r="D107" s="257">
        <v>51.6</v>
      </c>
      <c r="E107" s="257">
        <v>85</v>
      </c>
      <c r="F107" s="257">
        <v>17.3</v>
      </c>
      <c r="G107" s="257">
        <v>0.224</v>
      </c>
      <c r="H107" s="257">
        <v>83.8</v>
      </c>
      <c r="I107" s="257">
        <v>17.3</v>
      </c>
      <c r="J107" s="258">
        <v>1</v>
      </c>
    </row>
    <row r="108" spans="1:10" ht="13.5" thickBot="1" x14ac:dyDescent="0.35">
      <c r="A108" s="255" t="s">
        <v>199</v>
      </c>
      <c r="B108" s="256">
        <v>529</v>
      </c>
      <c r="C108" s="257">
        <v>614</v>
      </c>
      <c r="D108" s="257">
        <v>86.2</v>
      </c>
      <c r="E108" s="257">
        <v>93</v>
      </c>
      <c r="F108" s="257">
        <v>24.3</v>
      </c>
      <c r="G108" s="257">
        <v>0.23699999999999999</v>
      </c>
      <c r="H108" s="257">
        <v>90</v>
      </c>
      <c r="I108" s="257">
        <v>6.1</v>
      </c>
      <c r="J108" s="258">
        <v>1</v>
      </c>
    </row>
    <row r="109" spans="1:10" ht="13.5" thickBot="1" x14ac:dyDescent="0.35">
      <c r="A109" s="255" t="s">
        <v>349</v>
      </c>
      <c r="B109" s="256">
        <v>523</v>
      </c>
      <c r="C109" s="257">
        <v>623</v>
      </c>
      <c r="D109" s="257">
        <v>83.9</v>
      </c>
      <c r="E109" s="257">
        <v>79</v>
      </c>
      <c r="F109" s="257">
        <v>23.8</v>
      </c>
      <c r="G109" s="257">
        <v>0.221</v>
      </c>
      <c r="H109" s="257">
        <v>88.8</v>
      </c>
      <c r="I109" s="257">
        <v>18.899999999999999</v>
      </c>
      <c r="J109" s="258">
        <v>1</v>
      </c>
    </row>
    <row r="110" spans="1:10" ht="13.5" thickBot="1" x14ac:dyDescent="0.35">
      <c r="A110" s="255" t="s">
        <v>214</v>
      </c>
      <c r="B110" s="256">
        <v>520</v>
      </c>
      <c r="C110" s="257">
        <v>2490</v>
      </c>
      <c r="D110" s="257">
        <v>20.9</v>
      </c>
      <c r="E110" s="257">
        <v>115</v>
      </c>
      <c r="F110" s="257">
        <v>18.7</v>
      </c>
      <c r="G110" s="257">
        <v>0.26700000000000002</v>
      </c>
      <c r="H110" s="257">
        <v>90.7</v>
      </c>
      <c r="I110" s="257">
        <v>9.1999999999999993</v>
      </c>
      <c r="J110" s="258">
        <v>1</v>
      </c>
    </row>
    <row r="111" spans="1:10" ht="13.5" thickBot="1" x14ac:dyDescent="0.35">
      <c r="A111" s="255" t="s">
        <v>241</v>
      </c>
      <c r="B111" s="256">
        <v>518</v>
      </c>
      <c r="C111" s="257">
        <v>2665</v>
      </c>
      <c r="D111" s="257">
        <v>19.399999999999999</v>
      </c>
      <c r="E111" s="257">
        <v>102</v>
      </c>
      <c r="F111" s="257">
        <v>23.6</v>
      </c>
      <c r="G111" s="257">
        <v>0.191</v>
      </c>
      <c r="H111" s="257">
        <v>85.7</v>
      </c>
      <c r="I111" s="257">
        <v>17.100000000000001</v>
      </c>
      <c r="J111" s="258">
        <v>1</v>
      </c>
    </row>
    <row r="112" spans="1:10" ht="13.5" thickBot="1" x14ac:dyDescent="0.35">
      <c r="A112" s="255" t="s">
        <v>350</v>
      </c>
      <c r="B112" s="256">
        <v>493</v>
      </c>
      <c r="C112" s="257">
        <v>1807</v>
      </c>
      <c r="D112" s="257">
        <v>27.3</v>
      </c>
      <c r="E112" s="257">
        <v>67</v>
      </c>
      <c r="F112" s="257">
        <v>49.7</v>
      </c>
      <c r="G112" s="257">
        <v>0.157</v>
      </c>
      <c r="H112" s="257">
        <v>88.1</v>
      </c>
      <c r="I112" s="257">
        <v>14</v>
      </c>
      <c r="J112" s="258">
        <v>1</v>
      </c>
    </row>
    <row r="113" spans="1:10" ht="13.5" thickBot="1" x14ac:dyDescent="0.35">
      <c r="A113" s="255" t="s">
        <v>276</v>
      </c>
      <c r="B113" s="256">
        <v>493</v>
      </c>
      <c r="C113" s="257">
        <v>827</v>
      </c>
      <c r="D113" s="257">
        <v>59.6</v>
      </c>
      <c r="E113" s="257">
        <v>102</v>
      </c>
      <c r="F113" s="257">
        <v>19.3</v>
      </c>
      <c r="G113" s="257">
        <v>0.215</v>
      </c>
      <c r="H113" s="257">
        <v>84.1</v>
      </c>
      <c r="I113" s="257">
        <v>12.3</v>
      </c>
      <c r="J113" s="258">
        <v>1</v>
      </c>
    </row>
    <row r="114" spans="1:10" ht="13.5" thickBot="1" x14ac:dyDescent="0.35">
      <c r="A114" s="255" t="s">
        <v>218</v>
      </c>
      <c r="B114" s="256">
        <v>492</v>
      </c>
      <c r="C114" s="257">
        <v>1720</v>
      </c>
      <c r="D114" s="257">
        <v>28.6</v>
      </c>
      <c r="E114" s="257">
        <v>91</v>
      </c>
      <c r="F114" s="257">
        <v>21.1</v>
      </c>
      <c r="G114" s="257">
        <v>0.216</v>
      </c>
      <c r="H114" s="257">
        <v>86.7</v>
      </c>
      <c r="I114" s="257">
        <v>7.6</v>
      </c>
      <c r="J114" s="258">
        <v>1</v>
      </c>
    </row>
    <row r="115" spans="1:10" ht="13.5" thickBot="1" x14ac:dyDescent="0.35">
      <c r="A115" s="255" t="s">
        <v>250</v>
      </c>
      <c r="B115" s="256">
        <v>479</v>
      </c>
      <c r="C115" s="257">
        <v>861</v>
      </c>
      <c r="D115" s="257">
        <v>55.6</v>
      </c>
      <c r="E115" s="257">
        <v>71</v>
      </c>
      <c r="F115" s="257">
        <v>25.5</v>
      </c>
      <c r="G115" s="257">
        <v>0.19700000000000001</v>
      </c>
      <c r="H115" s="257">
        <v>88.5</v>
      </c>
      <c r="I115" s="257">
        <v>6.8</v>
      </c>
      <c r="J115" s="258">
        <v>1</v>
      </c>
    </row>
    <row r="116" spans="1:10" ht="13.5" thickBot="1" x14ac:dyDescent="0.35">
      <c r="A116" s="255" t="s">
        <v>351</v>
      </c>
      <c r="B116" s="256">
        <v>473</v>
      </c>
      <c r="C116" s="257">
        <v>543</v>
      </c>
      <c r="D116" s="257">
        <v>87.1</v>
      </c>
      <c r="E116" s="257">
        <v>78</v>
      </c>
      <c r="F116" s="257">
        <v>32.299999999999997</v>
      </c>
      <c r="G116" s="257">
        <v>0.224</v>
      </c>
      <c r="H116" s="257">
        <v>92.4</v>
      </c>
      <c r="I116" s="257">
        <v>20.7</v>
      </c>
      <c r="J116" s="258">
        <v>1</v>
      </c>
    </row>
    <row r="117" spans="1:10" ht="13.5" thickBot="1" x14ac:dyDescent="0.35">
      <c r="A117" s="255" t="s">
        <v>285</v>
      </c>
      <c r="B117" s="256">
        <v>471</v>
      </c>
      <c r="C117" s="257">
        <v>590</v>
      </c>
      <c r="D117" s="257">
        <v>79.8</v>
      </c>
      <c r="E117" s="257">
        <v>82</v>
      </c>
      <c r="F117" s="257">
        <v>11.9</v>
      </c>
      <c r="G117" s="257">
        <v>0.32500000000000001</v>
      </c>
      <c r="H117" s="257">
        <v>88.3</v>
      </c>
      <c r="I117" s="257">
        <v>16.399999999999999</v>
      </c>
      <c r="J117" s="258">
        <v>1</v>
      </c>
    </row>
    <row r="118" spans="1:10" ht="13.5" thickBot="1" x14ac:dyDescent="0.35">
      <c r="A118" s="255" t="s">
        <v>261</v>
      </c>
      <c r="B118" s="256">
        <v>470</v>
      </c>
      <c r="C118" s="257">
        <v>2525</v>
      </c>
      <c r="D118" s="257">
        <v>18.600000000000001</v>
      </c>
      <c r="E118" s="257">
        <v>78</v>
      </c>
      <c r="F118" s="257">
        <v>23.9</v>
      </c>
      <c r="G118" s="257">
        <v>0.28699999999999998</v>
      </c>
      <c r="H118" s="257">
        <v>91.6</v>
      </c>
      <c r="I118" s="257">
        <v>10.8</v>
      </c>
      <c r="J118" s="258">
        <v>1</v>
      </c>
    </row>
    <row r="119" spans="1:10" ht="13.5" thickBot="1" x14ac:dyDescent="0.35">
      <c r="A119" s="255" t="s">
        <v>248</v>
      </c>
      <c r="B119" s="256">
        <v>464</v>
      </c>
      <c r="C119" s="257">
        <v>2033</v>
      </c>
      <c r="D119" s="257">
        <v>22.8</v>
      </c>
      <c r="E119" s="257">
        <v>82</v>
      </c>
      <c r="F119" s="257">
        <v>22.5</v>
      </c>
      <c r="G119" s="257">
        <v>0.214</v>
      </c>
      <c r="H119" s="257">
        <v>85.3</v>
      </c>
      <c r="I119" s="257">
        <v>11</v>
      </c>
      <c r="J119" s="258">
        <v>1</v>
      </c>
    </row>
    <row r="120" spans="1:10" ht="13.5" thickBot="1" x14ac:dyDescent="0.35">
      <c r="A120" s="255" t="s">
        <v>352</v>
      </c>
      <c r="B120" s="256">
        <v>464</v>
      </c>
      <c r="C120" s="257">
        <v>710</v>
      </c>
      <c r="D120" s="257">
        <v>65.400000000000006</v>
      </c>
      <c r="E120" s="257">
        <v>76</v>
      </c>
      <c r="F120" s="257">
        <v>26.7</v>
      </c>
      <c r="G120" s="257">
        <v>0.20599999999999999</v>
      </c>
      <c r="H120" s="257">
        <v>90.3</v>
      </c>
      <c r="I120" s="257">
        <v>15.2</v>
      </c>
      <c r="J120" s="258">
        <v>1</v>
      </c>
    </row>
    <row r="121" spans="1:10" ht="13.5" thickBot="1" x14ac:dyDescent="0.35">
      <c r="A121" s="255" t="s">
        <v>272</v>
      </c>
      <c r="B121" s="256">
        <v>459</v>
      </c>
      <c r="C121" s="257">
        <v>1216</v>
      </c>
      <c r="D121" s="257">
        <v>37.700000000000003</v>
      </c>
      <c r="E121" s="257">
        <v>113</v>
      </c>
      <c r="F121" s="257">
        <v>10.8</v>
      </c>
      <c r="G121" s="257">
        <v>0.32</v>
      </c>
      <c r="H121" s="257">
        <v>89.1</v>
      </c>
      <c r="I121" s="257">
        <v>8.5</v>
      </c>
      <c r="J121" s="258">
        <v>1</v>
      </c>
    </row>
    <row r="122" spans="1:10" ht="13.5" thickBot="1" x14ac:dyDescent="0.35">
      <c r="A122" s="255" t="s">
        <v>253</v>
      </c>
      <c r="B122" s="256">
        <v>457</v>
      </c>
      <c r="C122" s="257">
        <v>1420</v>
      </c>
      <c r="D122" s="257">
        <v>32.200000000000003</v>
      </c>
      <c r="E122" s="257">
        <v>65</v>
      </c>
      <c r="F122" s="257">
        <v>35.799999999999997</v>
      </c>
      <c r="G122" s="257">
        <v>0.184</v>
      </c>
      <c r="H122" s="257">
        <v>86.8</v>
      </c>
      <c r="I122" s="257">
        <v>7.7</v>
      </c>
      <c r="J122" s="258">
        <v>1</v>
      </c>
    </row>
    <row r="123" spans="1:10" ht="13.5" thickBot="1" x14ac:dyDescent="0.35">
      <c r="A123" s="255" t="s">
        <v>353</v>
      </c>
      <c r="B123" s="256">
        <v>454</v>
      </c>
      <c r="C123" s="257">
        <v>822</v>
      </c>
      <c r="D123" s="257">
        <v>55.2</v>
      </c>
      <c r="E123" s="257">
        <v>75</v>
      </c>
      <c r="F123" s="257">
        <v>23.6</v>
      </c>
      <c r="G123" s="257">
        <v>0.23899999999999999</v>
      </c>
      <c r="H123" s="257">
        <v>87.2</v>
      </c>
      <c r="I123" s="257">
        <v>19.2</v>
      </c>
      <c r="J123" s="258">
        <v>1</v>
      </c>
    </row>
    <row r="124" spans="1:10" ht="13.5" thickBot="1" x14ac:dyDescent="0.35">
      <c r="A124" s="255" t="s">
        <v>354</v>
      </c>
      <c r="B124" s="256">
        <v>449</v>
      </c>
      <c r="C124" s="257">
        <v>1888</v>
      </c>
      <c r="D124" s="257">
        <v>23.8</v>
      </c>
      <c r="E124" s="257">
        <v>71</v>
      </c>
      <c r="F124" s="257">
        <v>35</v>
      </c>
      <c r="G124" s="257">
        <v>0.16900000000000001</v>
      </c>
      <c r="H124" s="257">
        <v>87.6</v>
      </c>
      <c r="I124" s="257">
        <v>20.100000000000001</v>
      </c>
      <c r="J124" s="258">
        <v>1</v>
      </c>
    </row>
    <row r="125" spans="1:10" ht="13.5" thickBot="1" x14ac:dyDescent="0.35">
      <c r="A125" s="255" t="s">
        <v>266</v>
      </c>
      <c r="B125" s="256">
        <v>446</v>
      </c>
      <c r="C125" s="257">
        <v>1261</v>
      </c>
      <c r="D125" s="257">
        <v>35.4</v>
      </c>
      <c r="E125" s="257">
        <v>79</v>
      </c>
      <c r="F125" s="257">
        <v>34.1</v>
      </c>
      <c r="G125" s="257">
        <v>0.219</v>
      </c>
      <c r="H125" s="257">
        <v>87.8</v>
      </c>
      <c r="I125" s="257">
        <v>8.9</v>
      </c>
      <c r="J125" s="258">
        <v>1</v>
      </c>
    </row>
    <row r="126" spans="1:10" ht="13.5" thickBot="1" x14ac:dyDescent="0.35">
      <c r="A126" s="255" t="s">
        <v>189</v>
      </c>
      <c r="B126" s="256">
        <v>444</v>
      </c>
      <c r="C126" s="257">
        <v>2065</v>
      </c>
      <c r="D126" s="257">
        <v>21.5</v>
      </c>
      <c r="E126" s="257">
        <v>105</v>
      </c>
      <c r="F126" s="257">
        <v>12.3</v>
      </c>
      <c r="G126" s="257">
        <v>0.30499999999999999</v>
      </c>
      <c r="H126" s="257">
        <v>88</v>
      </c>
      <c r="I126" s="257">
        <v>5.5</v>
      </c>
      <c r="J126" s="258">
        <v>1</v>
      </c>
    </row>
    <row r="127" spans="1:10" ht="13.5" thickBot="1" x14ac:dyDescent="0.35">
      <c r="A127" s="255" t="s">
        <v>277</v>
      </c>
      <c r="B127" s="256">
        <v>439</v>
      </c>
      <c r="C127" s="257">
        <v>727</v>
      </c>
      <c r="D127" s="257">
        <v>60.4</v>
      </c>
      <c r="E127" s="257">
        <v>77</v>
      </c>
      <c r="F127" s="257">
        <v>20.7</v>
      </c>
      <c r="G127" s="257">
        <v>0.17899999999999999</v>
      </c>
      <c r="H127" s="257">
        <v>84.7</v>
      </c>
      <c r="I127" s="257">
        <v>17.399999999999999</v>
      </c>
      <c r="J127" s="258">
        <v>1</v>
      </c>
    </row>
    <row r="128" spans="1:10" ht="13.5" thickBot="1" x14ac:dyDescent="0.35">
      <c r="A128" s="255" t="s">
        <v>355</v>
      </c>
      <c r="B128" s="256">
        <v>435</v>
      </c>
      <c r="C128" s="257">
        <v>716</v>
      </c>
      <c r="D128" s="257">
        <v>60.8</v>
      </c>
      <c r="E128" s="257">
        <v>66</v>
      </c>
      <c r="F128" s="257">
        <v>27.9</v>
      </c>
      <c r="G128" s="257">
        <v>0.19400000000000001</v>
      </c>
      <c r="H128" s="257">
        <v>86.4</v>
      </c>
      <c r="I128" s="257">
        <v>22.7</v>
      </c>
      <c r="J128" s="258">
        <v>1</v>
      </c>
    </row>
    <row r="129" spans="1:10" ht="13.5" thickBot="1" x14ac:dyDescent="0.35">
      <c r="A129" s="255" t="s">
        <v>233</v>
      </c>
      <c r="B129" s="256">
        <v>428</v>
      </c>
      <c r="C129" s="257">
        <v>1263</v>
      </c>
      <c r="D129" s="257">
        <v>33.9</v>
      </c>
      <c r="E129" s="257">
        <v>89</v>
      </c>
      <c r="F129" s="257">
        <v>25.4</v>
      </c>
      <c r="G129" s="257">
        <v>0.22600000000000001</v>
      </c>
      <c r="H129" s="257">
        <v>87.1</v>
      </c>
      <c r="I129" s="257">
        <v>3.4</v>
      </c>
      <c r="J129" s="258">
        <v>1</v>
      </c>
    </row>
    <row r="130" spans="1:10" ht="13.5" thickBot="1" x14ac:dyDescent="0.35">
      <c r="A130" s="255" t="s">
        <v>260</v>
      </c>
      <c r="B130" s="256">
        <v>427</v>
      </c>
      <c r="C130" s="257">
        <v>850</v>
      </c>
      <c r="D130" s="257">
        <v>50.2</v>
      </c>
      <c r="E130" s="257">
        <v>80</v>
      </c>
      <c r="F130" s="257">
        <v>22.9</v>
      </c>
      <c r="G130" s="257">
        <v>0.255</v>
      </c>
      <c r="H130" s="257">
        <v>91</v>
      </c>
      <c r="I130" s="257">
        <v>6.5</v>
      </c>
      <c r="J130" s="258">
        <v>1</v>
      </c>
    </row>
    <row r="131" spans="1:10" ht="13.5" thickBot="1" x14ac:dyDescent="0.35">
      <c r="A131" s="255" t="s">
        <v>356</v>
      </c>
      <c r="B131" s="256">
        <v>419</v>
      </c>
      <c r="C131" s="257">
        <v>477</v>
      </c>
      <c r="D131" s="257">
        <v>87.8</v>
      </c>
      <c r="E131" s="257">
        <v>49</v>
      </c>
      <c r="F131" s="257">
        <v>38.5</v>
      </c>
      <c r="G131" s="257">
        <v>0.161</v>
      </c>
      <c r="H131" s="257">
        <v>90.7</v>
      </c>
      <c r="I131" s="257">
        <v>20.5</v>
      </c>
      <c r="J131" s="258">
        <v>1</v>
      </c>
    </row>
    <row r="132" spans="1:10" ht="13.5" thickBot="1" x14ac:dyDescent="0.35">
      <c r="A132" s="255" t="s">
        <v>286</v>
      </c>
      <c r="B132" s="256">
        <v>417</v>
      </c>
      <c r="C132" s="257">
        <v>577</v>
      </c>
      <c r="D132" s="257">
        <v>72.3</v>
      </c>
      <c r="E132" s="257">
        <v>69</v>
      </c>
      <c r="F132" s="257">
        <v>25.2</v>
      </c>
      <c r="G132" s="257">
        <v>0.222</v>
      </c>
      <c r="H132" s="257">
        <v>89.6</v>
      </c>
      <c r="I132" s="257">
        <v>12</v>
      </c>
      <c r="J132" s="258">
        <v>1</v>
      </c>
    </row>
    <row r="133" spans="1:10" ht="13.5" thickBot="1" x14ac:dyDescent="0.35">
      <c r="A133" s="255" t="s">
        <v>274</v>
      </c>
      <c r="B133" s="256">
        <v>399</v>
      </c>
      <c r="C133" s="257">
        <v>547</v>
      </c>
      <c r="D133" s="257">
        <v>72.900000000000006</v>
      </c>
      <c r="E133" s="257">
        <v>72</v>
      </c>
      <c r="F133" s="257">
        <v>25.2</v>
      </c>
      <c r="G133" s="257">
        <v>0.27</v>
      </c>
      <c r="H133" s="257">
        <v>93</v>
      </c>
      <c r="I133" s="257">
        <v>16.2</v>
      </c>
      <c r="J133" s="258">
        <v>1</v>
      </c>
    </row>
    <row r="134" spans="1:10" ht="13.5" thickBot="1" x14ac:dyDescent="0.35">
      <c r="A134" s="255" t="s">
        <v>357</v>
      </c>
      <c r="B134" s="256">
        <v>398</v>
      </c>
      <c r="C134" s="257">
        <v>492</v>
      </c>
      <c r="D134" s="257">
        <v>80.900000000000006</v>
      </c>
      <c r="E134" s="257">
        <v>74</v>
      </c>
      <c r="F134" s="257">
        <v>24.1</v>
      </c>
      <c r="G134" s="257">
        <v>0.191</v>
      </c>
      <c r="H134" s="257">
        <v>87.6</v>
      </c>
      <c r="I134" s="257">
        <v>17.5</v>
      </c>
      <c r="J134" s="258">
        <v>1</v>
      </c>
    </row>
    <row r="135" spans="1:10" ht="13.5" thickBot="1" x14ac:dyDescent="0.35">
      <c r="A135" s="255" t="s">
        <v>358</v>
      </c>
      <c r="B135" s="256">
        <v>396</v>
      </c>
      <c r="C135" s="257">
        <v>1320</v>
      </c>
      <c r="D135" s="257">
        <v>30</v>
      </c>
      <c r="E135" s="257">
        <v>63</v>
      </c>
      <c r="F135" s="257">
        <v>40</v>
      </c>
      <c r="G135" s="257">
        <v>0.17599999999999999</v>
      </c>
      <c r="H135" s="257">
        <v>84.4</v>
      </c>
      <c r="I135" s="257">
        <v>8.6999999999999993</v>
      </c>
      <c r="J135" s="258">
        <v>1</v>
      </c>
    </row>
    <row r="136" spans="1:10" ht="13.5" thickBot="1" x14ac:dyDescent="0.35">
      <c r="A136" s="255" t="s">
        <v>243</v>
      </c>
      <c r="B136" s="256">
        <v>394</v>
      </c>
      <c r="C136" s="257">
        <v>2781</v>
      </c>
      <c r="D136" s="257">
        <v>14.2</v>
      </c>
      <c r="E136" s="257">
        <v>77</v>
      </c>
      <c r="F136" s="257">
        <v>15.5</v>
      </c>
      <c r="G136" s="257">
        <v>0.255</v>
      </c>
      <c r="H136" s="257">
        <v>89.1</v>
      </c>
      <c r="I136" s="257">
        <v>2.2999999999999998</v>
      </c>
      <c r="J136" s="258">
        <v>1</v>
      </c>
    </row>
    <row r="137" spans="1:10" ht="13.5" thickBot="1" x14ac:dyDescent="0.35">
      <c r="A137" s="255" t="s">
        <v>247</v>
      </c>
      <c r="B137" s="256">
        <v>384</v>
      </c>
      <c r="C137" s="257">
        <v>1966</v>
      </c>
      <c r="D137" s="257">
        <v>19.5</v>
      </c>
      <c r="E137" s="257">
        <v>56</v>
      </c>
      <c r="F137" s="257">
        <v>23.7</v>
      </c>
      <c r="G137" s="257">
        <v>0.20300000000000001</v>
      </c>
      <c r="H137" s="257">
        <v>87.5</v>
      </c>
      <c r="I137" s="257">
        <v>0.2</v>
      </c>
      <c r="J137" s="258">
        <v>1</v>
      </c>
    </row>
    <row r="138" spans="1:10" ht="13.5" thickBot="1" x14ac:dyDescent="0.35">
      <c r="A138" s="255" t="s">
        <v>359</v>
      </c>
      <c r="B138" s="256">
        <v>384</v>
      </c>
      <c r="C138" s="257">
        <v>430</v>
      </c>
      <c r="D138" s="257">
        <v>89.3</v>
      </c>
      <c r="E138" s="257">
        <v>65</v>
      </c>
      <c r="F138" s="257">
        <v>27.1</v>
      </c>
      <c r="G138" s="257">
        <v>0.22500000000000001</v>
      </c>
      <c r="H138" s="257">
        <v>86.8</v>
      </c>
      <c r="I138" s="257">
        <v>16.899999999999999</v>
      </c>
      <c r="J138" s="258">
        <v>1</v>
      </c>
    </row>
    <row r="139" spans="1:10" ht="13.5" thickBot="1" x14ac:dyDescent="0.35">
      <c r="A139" s="255" t="s">
        <v>360</v>
      </c>
      <c r="B139" s="256">
        <v>383</v>
      </c>
      <c r="C139" s="257">
        <v>530</v>
      </c>
      <c r="D139" s="257">
        <v>72.3</v>
      </c>
      <c r="E139" s="257">
        <v>63</v>
      </c>
      <c r="F139" s="257">
        <v>22.9</v>
      </c>
      <c r="G139" s="257">
        <v>0.245</v>
      </c>
      <c r="H139" s="257">
        <v>89.9</v>
      </c>
      <c r="I139" s="257">
        <v>13.1</v>
      </c>
      <c r="J139" s="258">
        <v>1</v>
      </c>
    </row>
    <row r="140" spans="1:10" ht="13.5" thickBot="1" x14ac:dyDescent="0.35">
      <c r="A140" s="255" t="s">
        <v>361</v>
      </c>
      <c r="B140" s="256">
        <v>372</v>
      </c>
      <c r="C140" s="257">
        <v>453</v>
      </c>
      <c r="D140" s="257">
        <v>82.1</v>
      </c>
      <c r="E140" s="257">
        <v>51</v>
      </c>
      <c r="F140" s="257">
        <v>31.1</v>
      </c>
      <c r="G140" s="257">
        <v>0.23100000000000001</v>
      </c>
      <c r="H140" s="257">
        <v>91.9</v>
      </c>
      <c r="I140" s="257">
        <v>15.9</v>
      </c>
      <c r="J140" s="258">
        <v>1</v>
      </c>
    </row>
    <row r="141" spans="1:10" ht="13.5" thickBot="1" x14ac:dyDescent="0.35">
      <c r="A141" s="255" t="s">
        <v>259</v>
      </c>
      <c r="B141" s="256">
        <v>367</v>
      </c>
      <c r="C141" s="257">
        <v>469</v>
      </c>
      <c r="D141" s="257">
        <v>78.3</v>
      </c>
      <c r="E141" s="257">
        <v>61</v>
      </c>
      <c r="F141" s="257">
        <v>24.7</v>
      </c>
      <c r="G141" s="257">
        <v>0.20899999999999999</v>
      </c>
      <c r="H141" s="257">
        <v>87.6</v>
      </c>
      <c r="I141" s="257">
        <v>9.4</v>
      </c>
      <c r="J141" s="258">
        <v>1</v>
      </c>
    </row>
    <row r="142" spans="1:10" ht="13.5" thickBot="1" x14ac:dyDescent="0.35">
      <c r="A142" s="255" t="s">
        <v>256</v>
      </c>
      <c r="B142" s="256">
        <v>354</v>
      </c>
      <c r="C142" s="257">
        <v>539</v>
      </c>
      <c r="D142" s="257">
        <v>65.7</v>
      </c>
      <c r="E142" s="257">
        <v>55</v>
      </c>
      <c r="F142" s="257">
        <v>24.1</v>
      </c>
      <c r="G142" s="257">
        <v>0.25600000000000001</v>
      </c>
      <c r="H142" s="257">
        <v>94</v>
      </c>
      <c r="I142" s="257">
        <v>3.9</v>
      </c>
      <c r="J142" s="258">
        <v>1</v>
      </c>
    </row>
    <row r="143" spans="1:10" ht="13.5" thickBot="1" x14ac:dyDescent="0.35">
      <c r="A143" s="255" t="s">
        <v>269</v>
      </c>
      <c r="B143" s="256">
        <v>350</v>
      </c>
      <c r="C143" s="257">
        <v>1303</v>
      </c>
      <c r="D143" s="257">
        <v>26.9</v>
      </c>
      <c r="E143" s="257">
        <v>71</v>
      </c>
      <c r="F143" s="257">
        <v>22.2</v>
      </c>
      <c r="G143" s="257">
        <v>0.23799999999999999</v>
      </c>
      <c r="H143" s="257">
        <v>88.4</v>
      </c>
      <c r="I143" s="257">
        <v>-0.4</v>
      </c>
      <c r="J143" s="258">
        <v>1</v>
      </c>
    </row>
    <row r="144" spans="1:10" ht="13.5" thickBot="1" x14ac:dyDescent="0.35">
      <c r="A144" s="255" t="s">
        <v>340</v>
      </c>
      <c r="B144" s="256">
        <v>350</v>
      </c>
      <c r="C144" s="257">
        <v>558</v>
      </c>
      <c r="D144" s="257">
        <v>62.7</v>
      </c>
      <c r="E144" s="257">
        <v>69</v>
      </c>
      <c r="F144" s="257">
        <v>23.3</v>
      </c>
      <c r="G144" s="257">
        <v>0.23400000000000001</v>
      </c>
      <c r="H144" s="257">
        <v>88.7</v>
      </c>
      <c r="I144" s="257">
        <v>17.399999999999999</v>
      </c>
      <c r="J144" s="258">
        <v>1</v>
      </c>
    </row>
    <row r="145" spans="1:10" ht="13.5" thickBot="1" x14ac:dyDescent="0.35">
      <c r="A145" s="255" t="s">
        <v>362</v>
      </c>
      <c r="B145" s="256">
        <v>349</v>
      </c>
      <c r="C145" s="257">
        <v>724</v>
      </c>
      <c r="D145" s="257">
        <v>48.2</v>
      </c>
      <c r="E145" s="257">
        <v>57</v>
      </c>
      <c r="F145" s="257">
        <v>30.1</v>
      </c>
      <c r="G145" s="257">
        <v>0.222</v>
      </c>
      <c r="H145" s="257">
        <v>90.7</v>
      </c>
      <c r="I145" s="257">
        <v>13.3</v>
      </c>
      <c r="J145" s="258">
        <v>1</v>
      </c>
    </row>
    <row r="146" spans="1:10" ht="13.5" thickBot="1" x14ac:dyDescent="0.35">
      <c r="A146" s="255" t="s">
        <v>270</v>
      </c>
      <c r="B146" s="256">
        <v>347</v>
      </c>
      <c r="C146" s="257">
        <v>1006</v>
      </c>
      <c r="D146" s="257">
        <v>34.5</v>
      </c>
      <c r="E146" s="257">
        <v>71</v>
      </c>
      <c r="F146" s="257">
        <v>11.2</v>
      </c>
      <c r="G146" s="257">
        <v>0.30499999999999999</v>
      </c>
      <c r="H146" s="257">
        <v>90.9</v>
      </c>
      <c r="I146" s="257">
        <v>10</v>
      </c>
      <c r="J146" s="258">
        <v>1</v>
      </c>
    </row>
    <row r="147" spans="1:10" ht="13.5" thickBot="1" x14ac:dyDescent="0.35">
      <c r="A147" s="255" t="s">
        <v>363</v>
      </c>
      <c r="B147" s="256">
        <v>347</v>
      </c>
      <c r="C147" s="257">
        <v>505</v>
      </c>
      <c r="D147" s="257">
        <v>68.7</v>
      </c>
      <c r="E147" s="257">
        <v>58</v>
      </c>
      <c r="F147" s="257">
        <v>23</v>
      </c>
      <c r="G147" s="257">
        <v>0.216</v>
      </c>
      <c r="H147" s="257">
        <v>82.1</v>
      </c>
      <c r="I147" s="257">
        <v>10.9</v>
      </c>
      <c r="J147" s="258">
        <v>1</v>
      </c>
    </row>
    <row r="148" spans="1:10" ht="13.5" thickBot="1" x14ac:dyDescent="0.35">
      <c r="A148" s="255" t="s">
        <v>279</v>
      </c>
      <c r="B148" s="256">
        <v>340</v>
      </c>
      <c r="C148" s="257">
        <v>1660</v>
      </c>
      <c r="D148" s="257">
        <v>20.5</v>
      </c>
      <c r="E148" s="257">
        <v>74</v>
      </c>
      <c r="F148" s="257">
        <v>20.2</v>
      </c>
      <c r="G148" s="257">
        <v>0.25600000000000001</v>
      </c>
      <c r="H148" s="257">
        <v>86.9</v>
      </c>
      <c r="I148" s="257">
        <v>7.8</v>
      </c>
      <c r="J148" s="258">
        <v>1</v>
      </c>
    </row>
    <row r="149" spans="1:10" ht="13.5" thickBot="1" x14ac:dyDescent="0.35">
      <c r="A149" s="255" t="s">
        <v>242</v>
      </c>
      <c r="B149" s="256">
        <v>340</v>
      </c>
      <c r="C149" s="257">
        <v>2477</v>
      </c>
      <c r="D149" s="257">
        <v>13.7</v>
      </c>
      <c r="E149" s="257">
        <v>71</v>
      </c>
      <c r="F149" s="257">
        <v>13.4</v>
      </c>
      <c r="G149" s="257">
        <v>0.26500000000000001</v>
      </c>
      <c r="H149" s="257">
        <v>85.3</v>
      </c>
      <c r="I149" s="257">
        <v>6.9</v>
      </c>
      <c r="J149" s="258">
        <v>1</v>
      </c>
    </row>
    <row r="150" spans="1:10" ht="13.5" thickBot="1" x14ac:dyDescent="0.35">
      <c r="A150" s="255" t="s">
        <v>364</v>
      </c>
      <c r="B150" s="256">
        <v>331</v>
      </c>
      <c r="C150" s="257">
        <v>509</v>
      </c>
      <c r="D150" s="257">
        <v>65</v>
      </c>
      <c r="E150" s="257">
        <v>57</v>
      </c>
      <c r="F150" s="257">
        <v>28.2</v>
      </c>
      <c r="G150" s="257">
        <v>0.186</v>
      </c>
      <c r="H150" s="257">
        <v>89.8</v>
      </c>
      <c r="I150" s="257">
        <v>17.600000000000001</v>
      </c>
      <c r="J150" s="258">
        <v>1</v>
      </c>
    </row>
    <row r="151" spans="1:10" ht="13.5" thickBot="1" x14ac:dyDescent="0.35">
      <c r="A151" s="255" t="s">
        <v>365</v>
      </c>
      <c r="B151" s="256">
        <v>328</v>
      </c>
      <c r="C151" s="257">
        <v>369</v>
      </c>
      <c r="D151" s="257">
        <v>88.9</v>
      </c>
      <c r="E151" s="257">
        <v>34</v>
      </c>
      <c r="F151" s="257">
        <v>43.4</v>
      </c>
      <c r="G151" s="257">
        <v>0.17899999999999999</v>
      </c>
      <c r="H151" s="257">
        <v>89.7</v>
      </c>
      <c r="I151" s="257">
        <v>10.1</v>
      </c>
      <c r="J151" s="258">
        <v>1</v>
      </c>
    </row>
    <row r="152" spans="1:10" ht="13.5" thickBot="1" x14ac:dyDescent="0.35">
      <c r="A152" s="255" t="s">
        <v>206</v>
      </c>
      <c r="B152" s="256">
        <v>2122</v>
      </c>
      <c r="C152" s="257">
        <v>2776</v>
      </c>
      <c r="D152" s="257">
        <v>76.400000000000006</v>
      </c>
      <c r="E152" s="257">
        <v>407</v>
      </c>
      <c r="F152" s="257">
        <v>17.2</v>
      </c>
      <c r="G152" s="257">
        <v>0.24199999999999999</v>
      </c>
      <c r="H152" s="257">
        <v>87.3</v>
      </c>
      <c r="I152" s="257">
        <v>19.5</v>
      </c>
      <c r="J152" s="258">
        <v>0</v>
      </c>
    </row>
    <row r="153" spans="1:10" ht="13.5" thickBot="1" x14ac:dyDescent="0.35">
      <c r="A153" s="255" t="s">
        <v>202</v>
      </c>
      <c r="B153" s="256">
        <v>2090</v>
      </c>
      <c r="C153" s="257">
        <v>2617</v>
      </c>
      <c r="D153" s="257">
        <v>79.900000000000006</v>
      </c>
      <c r="E153" s="257">
        <v>286</v>
      </c>
      <c r="F153" s="257">
        <v>29.1</v>
      </c>
      <c r="G153" s="257">
        <v>0.216</v>
      </c>
      <c r="H153" s="257">
        <v>89</v>
      </c>
      <c r="I153" s="257">
        <v>18.8</v>
      </c>
      <c r="J153" s="258">
        <v>0</v>
      </c>
    </row>
    <row r="154" spans="1:10" ht="13.5" thickBot="1" x14ac:dyDescent="0.35">
      <c r="A154" s="255" t="s">
        <v>213</v>
      </c>
      <c r="B154" s="256">
        <v>1979</v>
      </c>
      <c r="C154" s="257">
        <v>2897</v>
      </c>
      <c r="D154" s="257">
        <v>68.3</v>
      </c>
      <c r="E154" s="257">
        <v>287</v>
      </c>
      <c r="F154" s="257">
        <v>25.9</v>
      </c>
      <c r="G154" s="257">
        <v>0.24</v>
      </c>
      <c r="H154" s="257">
        <v>91.1</v>
      </c>
      <c r="I154" s="257">
        <v>17.5</v>
      </c>
      <c r="J154" s="258">
        <v>0</v>
      </c>
    </row>
    <row r="155" spans="1:10" ht="13.5" thickBot="1" x14ac:dyDescent="0.35">
      <c r="A155" s="255" t="s">
        <v>211</v>
      </c>
      <c r="B155" s="256">
        <v>1713</v>
      </c>
      <c r="C155" s="257">
        <v>2248</v>
      </c>
      <c r="D155" s="257">
        <v>76.2</v>
      </c>
      <c r="E155" s="257">
        <v>242</v>
      </c>
      <c r="F155" s="257">
        <v>33.299999999999997</v>
      </c>
      <c r="G155" s="257">
        <v>0.218</v>
      </c>
      <c r="H155" s="257">
        <v>90.9</v>
      </c>
      <c r="I155" s="257">
        <v>18.7</v>
      </c>
      <c r="J155" s="258">
        <v>0</v>
      </c>
    </row>
    <row r="156" spans="1:10" ht="13.5" thickBot="1" x14ac:dyDescent="0.35">
      <c r="A156" s="255" t="s">
        <v>219</v>
      </c>
      <c r="B156" s="256">
        <v>1545</v>
      </c>
      <c r="C156" s="257">
        <v>2105</v>
      </c>
      <c r="D156" s="257">
        <v>73.400000000000006</v>
      </c>
      <c r="E156" s="257">
        <v>228</v>
      </c>
      <c r="F156" s="257">
        <v>25.6</v>
      </c>
      <c r="G156" s="257">
        <v>0.27900000000000003</v>
      </c>
      <c r="H156" s="257">
        <v>91.5</v>
      </c>
      <c r="I156" s="257">
        <v>25</v>
      </c>
      <c r="J156" s="258">
        <v>0</v>
      </c>
    </row>
    <row r="157" spans="1:10" ht="13.5" thickBot="1" x14ac:dyDescent="0.35">
      <c r="A157" s="255" t="s">
        <v>223</v>
      </c>
      <c r="B157" s="256">
        <v>1469</v>
      </c>
      <c r="C157" s="257">
        <v>2906</v>
      </c>
      <c r="D157" s="257">
        <v>50.6</v>
      </c>
      <c r="E157" s="257">
        <v>198</v>
      </c>
      <c r="F157" s="257">
        <v>24.6</v>
      </c>
      <c r="G157" s="257">
        <v>0.312</v>
      </c>
      <c r="H157" s="257">
        <v>96.7</v>
      </c>
      <c r="I157" s="257">
        <v>16.100000000000001</v>
      </c>
      <c r="J157" s="258">
        <v>0</v>
      </c>
    </row>
    <row r="158" spans="1:10" ht="13.5" thickBot="1" x14ac:dyDescent="0.35">
      <c r="A158" s="255" t="s">
        <v>221</v>
      </c>
      <c r="B158" s="256">
        <v>1464</v>
      </c>
      <c r="C158" s="257">
        <v>2521</v>
      </c>
      <c r="D158" s="257">
        <v>58.1</v>
      </c>
      <c r="E158" s="257">
        <v>275</v>
      </c>
      <c r="F158" s="257">
        <v>11.7</v>
      </c>
      <c r="G158" s="257">
        <v>0.26100000000000001</v>
      </c>
      <c r="H158" s="257">
        <v>89.2</v>
      </c>
      <c r="I158" s="257">
        <v>18.899999999999999</v>
      </c>
      <c r="J158" s="258">
        <v>0</v>
      </c>
    </row>
    <row r="159" spans="1:10" ht="13.5" thickBot="1" x14ac:dyDescent="0.35">
      <c r="A159" s="255" t="s">
        <v>228</v>
      </c>
      <c r="B159" s="256">
        <v>1409</v>
      </c>
      <c r="C159" s="257">
        <v>2428</v>
      </c>
      <c r="D159" s="257">
        <v>58</v>
      </c>
      <c r="E159" s="257">
        <v>278</v>
      </c>
      <c r="F159" s="257">
        <v>15.8</v>
      </c>
      <c r="G159" s="257">
        <v>0.27100000000000002</v>
      </c>
      <c r="H159" s="257">
        <v>91.2</v>
      </c>
      <c r="I159" s="257">
        <v>17.5</v>
      </c>
      <c r="J159" s="258">
        <v>0</v>
      </c>
    </row>
    <row r="160" spans="1:10" ht="13.5" thickBot="1" x14ac:dyDescent="0.35">
      <c r="A160" s="255" t="s">
        <v>311</v>
      </c>
      <c r="B160" s="256">
        <v>1338</v>
      </c>
      <c r="C160" s="257">
        <v>1881</v>
      </c>
      <c r="D160" s="257">
        <v>71.099999999999994</v>
      </c>
      <c r="E160" s="257">
        <v>202</v>
      </c>
      <c r="F160" s="257">
        <v>28.9</v>
      </c>
      <c r="G160" s="257">
        <v>0.23</v>
      </c>
      <c r="H160" s="257">
        <v>90.5</v>
      </c>
      <c r="I160" s="257">
        <v>14.5</v>
      </c>
      <c r="J160" s="258">
        <v>0</v>
      </c>
    </row>
    <row r="161" spans="1:10" ht="13.5" thickBot="1" x14ac:dyDescent="0.35">
      <c r="A161" s="255" t="s">
        <v>215</v>
      </c>
      <c r="B161" s="256">
        <v>1318</v>
      </c>
      <c r="C161" s="257">
        <v>1700</v>
      </c>
      <c r="D161" s="257">
        <v>77.5</v>
      </c>
      <c r="E161" s="257">
        <v>246</v>
      </c>
      <c r="F161" s="257">
        <v>26.1</v>
      </c>
      <c r="G161" s="257">
        <v>0.23799999999999999</v>
      </c>
      <c r="H161" s="257">
        <v>92.4</v>
      </c>
      <c r="I161" s="257">
        <v>16.8</v>
      </c>
      <c r="J161" s="258">
        <v>0</v>
      </c>
    </row>
    <row r="162" spans="1:10" ht="13.5" thickBot="1" x14ac:dyDescent="0.35">
      <c r="A162" s="255" t="s">
        <v>225</v>
      </c>
      <c r="B162" s="256">
        <v>1308</v>
      </c>
      <c r="C162" s="257">
        <v>2175</v>
      </c>
      <c r="D162" s="257">
        <v>60.1</v>
      </c>
      <c r="E162" s="257">
        <v>248</v>
      </c>
      <c r="F162" s="257">
        <v>17.3</v>
      </c>
      <c r="G162" s="257">
        <v>0.26300000000000001</v>
      </c>
      <c r="H162" s="257">
        <v>89.5</v>
      </c>
      <c r="I162" s="257">
        <v>14</v>
      </c>
      <c r="J162" s="258">
        <v>0</v>
      </c>
    </row>
    <row r="163" spans="1:10" ht="13.5" thickBot="1" x14ac:dyDescent="0.35">
      <c r="A163" s="255" t="s">
        <v>204</v>
      </c>
      <c r="B163" s="256">
        <v>1300</v>
      </c>
      <c r="C163" s="257">
        <v>2162</v>
      </c>
      <c r="D163" s="257">
        <v>60.1</v>
      </c>
      <c r="E163" s="257">
        <v>198</v>
      </c>
      <c r="F163" s="257">
        <v>23.3</v>
      </c>
      <c r="G163" s="257">
        <v>0.26900000000000002</v>
      </c>
      <c r="H163" s="257">
        <v>90.2</v>
      </c>
      <c r="I163" s="257">
        <v>8.3000000000000007</v>
      </c>
      <c r="J163" s="258">
        <v>0</v>
      </c>
    </row>
    <row r="164" spans="1:10" ht="13.5" thickBot="1" x14ac:dyDescent="0.35">
      <c r="A164" s="255" t="s">
        <v>205</v>
      </c>
      <c r="B164" s="256">
        <v>1224</v>
      </c>
      <c r="C164" s="257">
        <v>2308</v>
      </c>
      <c r="D164" s="257">
        <v>53</v>
      </c>
      <c r="E164" s="257">
        <v>241</v>
      </c>
      <c r="F164" s="257">
        <v>10.6</v>
      </c>
      <c r="G164" s="257">
        <v>0.3</v>
      </c>
      <c r="H164" s="257">
        <v>85.6</v>
      </c>
      <c r="I164" s="257">
        <v>16</v>
      </c>
      <c r="J164" s="258">
        <v>0</v>
      </c>
    </row>
    <row r="165" spans="1:10" ht="13.5" thickBot="1" x14ac:dyDescent="0.35">
      <c r="A165" s="255" t="s">
        <v>232</v>
      </c>
      <c r="B165" s="256">
        <v>1195</v>
      </c>
      <c r="C165" s="257">
        <v>1529</v>
      </c>
      <c r="D165" s="257">
        <v>78.2</v>
      </c>
      <c r="E165" s="257">
        <v>179</v>
      </c>
      <c r="F165" s="257">
        <v>30.6</v>
      </c>
      <c r="G165" s="257">
        <v>0.23</v>
      </c>
      <c r="H165" s="257">
        <v>92</v>
      </c>
      <c r="I165" s="257">
        <v>20.7</v>
      </c>
      <c r="J165" s="258">
        <v>0</v>
      </c>
    </row>
    <row r="166" spans="1:10" ht="13.5" thickBot="1" x14ac:dyDescent="0.35">
      <c r="A166" s="255" t="s">
        <v>222</v>
      </c>
      <c r="B166" s="256">
        <v>1146</v>
      </c>
      <c r="C166" s="257">
        <v>2364</v>
      </c>
      <c r="D166" s="257">
        <v>48.5</v>
      </c>
      <c r="E166" s="257">
        <v>201</v>
      </c>
      <c r="F166" s="257">
        <v>19.399999999999999</v>
      </c>
      <c r="G166" s="257">
        <v>0.24299999999999999</v>
      </c>
      <c r="H166" s="257">
        <v>88.4</v>
      </c>
      <c r="I166" s="257">
        <v>12.7</v>
      </c>
      <c r="J166" s="258">
        <v>0</v>
      </c>
    </row>
    <row r="167" spans="1:10" ht="13.5" thickBot="1" x14ac:dyDescent="0.35">
      <c r="A167" s="255" t="s">
        <v>212</v>
      </c>
      <c r="B167" s="256">
        <v>1140</v>
      </c>
      <c r="C167" s="257">
        <v>2641</v>
      </c>
      <c r="D167" s="257">
        <v>43.2</v>
      </c>
      <c r="E167" s="257">
        <v>186</v>
      </c>
      <c r="F167" s="257">
        <v>25.4</v>
      </c>
      <c r="G167" s="257">
        <v>0.25800000000000001</v>
      </c>
      <c r="H167" s="257">
        <v>90.9</v>
      </c>
      <c r="I167" s="257">
        <v>12.1</v>
      </c>
      <c r="J167" s="258">
        <v>0</v>
      </c>
    </row>
    <row r="168" spans="1:10" ht="13.5" thickBot="1" x14ac:dyDescent="0.35">
      <c r="A168" s="255" t="s">
        <v>220</v>
      </c>
      <c r="B168" s="256">
        <v>1049</v>
      </c>
      <c r="C168" s="257">
        <v>2066</v>
      </c>
      <c r="D168" s="257">
        <v>50.8</v>
      </c>
      <c r="E168" s="257">
        <v>198</v>
      </c>
      <c r="F168" s="257">
        <v>23.9</v>
      </c>
      <c r="G168" s="257">
        <v>0.23799999999999999</v>
      </c>
      <c r="H168" s="257">
        <v>88.4</v>
      </c>
      <c r="I168" s="257">
        <v>16.399999999999999</v>
      </c>
      <c r="J168" s="258">
        <v>0</v>
      </c>
    </row>
    <row r="169" spans="1:10" ht="13.5" thickBot="1" x14ac:dyDescent="0.35">
      <c r="A169" s="255" t="s">
        <v>217</v>
      </c>
      <c r="B169" s="256">
        <v>1019</v>
      </c>
      <c r="C169" s="257">
        <v>2507</v>
      </c>
      <c r="D169" s="257">
        <v>40.6</v>
      </c>
      <c r="E169" s="257">
        <v>194</v>
      </c>
      <c r="F169" s="257">
        <v>21.5</v>
      </c>
      <c r="G169" s="257">
        <v>0.22500000000000001</v>
      </c>
      <c r="H169" s="257">
        <v>89.5</v>
      </c>
      <c r="I169" s="257">
        <v>21.5</v>
      </c>
      <c r="J169" s="258">
        <v>0</v>
      </c>
    </row>
    <row r="170" spans="1:10" ht="13.5" thickBot="1" x14ac:dyDescent="0.35">
      <c r="A170" s="255" t="s">
        <v>190</v>
      </c>
      <c r="B170" s="256">
        <v>1017</v>
      </c>
      <c r="C170" s="257">
        <v>2537</v>
      </c>
      <c r="D170" s="257">
        <v>40.1</v>
      </c>
      <c r="E170" s="257">
        <v>165</v>
      </c>
      <c r="F170" s="257">
        <v>24.9</v>
      </c>
      <c r="G170" s="257">
        <v>0.254</v>
      </c>
      <c r="H170" s="257">
        <v>92.4</v>
      </c>
      <c r="I170" s="257">
        <v>14.7</v>
      </c>
      <c r="J170" s="258">
        <v>0</v>
      </c>
    </row>
    <row r="171" spans="1:10" ht="13.5" thickBot="1" x14ac:dyDescent="0.35">
      <c r="A171" s="255" t="s">
        <v>234</v>
      </c>
      <c r="B171" s="256">
        <v>1010</v>
      </c>
      <c r="C171" s="257">
        <v>2023</v>
      </c>
      <c r="D171" s="257">
        <v>49.9</v>
      </c>
      <c r="E171" s="257">
        <v>178</v>
      </c>
      <c r="F171" s="257">
        <v>21.3</v>
      </c>
      <c r="G171" s="257">
        <v>0.27</v>
      </c>
      <c r="H171" s="257">
        <v>88.4</v>
      </c>
      <c r="I171" s="257">
        <v>15.3</v>
      </c>
      <c r="J171" s="258">
        <v>0</v>
      </c>
    </row>
    <row r="172" spans="1:10" ht="13.5" thickBot="1" x14ac:dyDescent="0.35">
      <c r="A172" s="255" t="s">
        <v>236</v>
      </c>
      <c r="B172" s="256">
        <v>998</v>
      </c>
      <c r="C172" s="257">
        <v>1276</v>
      </c>
      <c r="D172" s="257">
        <v>78.2</v>
      </c>
      <c r="E172" s="257">
        <v>144</v>
      </c>
      <c r="F172" s="257">
        <v>29.4</v>
      </c>
      <c r="G172" s="257">
        <v>0.223</v>
      </c>
      <c r="H172" s="257">
        <v>91.1</v>
      </c>
      <c r="I172" s="257">
        <v>15.6</v>
      </c>
      <c r="J172" s="258">
        <v>0</v>
      </c>
    </row>
    <row r="173" spans="1:10" ht="13.5" thickBot="1" x14ac:dyDescent="0.35">
      <c r="A173" s="255" t="s">
        <v>194</v>
      </c>
      <c r="B173" s="256">
        <v>996</v>
      </c>
      <c r="C173" s="257">
        <v>2027</v>
      </c>
      <c r="D173" s="257">
        <v>49.1</v>
      </c>
      <c r="E173" s="257">
        <v>176</v>
      </c>
      <c r="F173" s="257">
        <v>18.399999999999999</v>
      </c>
      <c r="G173" s="257">
        <v>0.25700000000000001</v>
      </c>
      <c r="H173" s="257">
        <v>89.2</v>
      </c>
      <c r="I173" s="257">
        <v>16.100000000000001</v>
      </c>
      <c r="J173" s="258">
        <v>0</v>
      </c>
    </row>
    <row r="174" spans="1:10" ht="13.5" thickBot="1" x14ac:dyDescent="0.35">
      <c r="A174" s="255" t="s">
        <v>303</v>
      </c>
      <c r="B174" s="256">
        <v>959</v>
      </c>
      <c r="C174" s="257">
        <v>2233</v>
      </c>
      <c r="D174" s="257">
        <v>42.9</v>
      </c>
      <c r="E174" s="257">
        <v>130</v>
      </c>
      <c r="F174" s="257">
        <v>29.7</v>
      </c>
      <c r="G174" s="257">
        <v>0.214</v>
      </c>
      <c r="H174" s="257">
        <v>92.5</v>
      </c>
      <c r="I174" s="257">
        <v>22.4</v>
      </c>
      <c r="J174" s="258">
        <v>0</v>
      </c>
    </row>
    <row r="175" spans="1:10" ht="13.5" thickBot="1" x14ac:dyDescent="0.35">
      <c r="A175" s="255" t="s">
        <v>235</v>
      </c>
      <c r="B175" s="256">
        <v>950</v>
      </c>
      <c r="C175" s="257">
        <v>2543</v>
      </c>
      <c r="D175" s="257">
        <v>37.4</v>
      </c>
      <c r="E175" s="257">
        <v>165</v>
      </c>
      <c r="F175" s="257">
        <v>22.2</v>
      </c>
      <c r="G175" s="257">
        <v>0.254</v>
      </c>
      <c r="H175" s="257">
        <v>91.7</v>
      </c>
      <c r="I175" s="257">
        <v>19.3</v>
      </c>
      <c r="J175" s="258">
        <v>0</v>
      </c>
    </row>
    <row r="176" spans="1:10" ht="13.5" thickBot="1" x14ac:dyDescent="0.35">
      <c r="A176" s="255" t="s">
        <v>200</v>
      </c>
      <c r="B176" s="256">
        <v>950</v>
      </c>
      <c r="C176" s="257">
        <v>2242</v>
      </c>
      <c r="D176" s="257">
        <v>42.4</v>
      </c>
      <c r="E176" s="257">
        <v>166</v>
      </c>
      <c r="F176" s="257">
        <v>21</v>
      </c>
      <c r="G176" s="257">
        <v>0.245</v>
      </c>
      <c r="H176" s="257">
        <v>89.2</v>
      </c>
      <c r="I176" s="257">
        <v>16.100000000000001</v>
      </c>
      <c r="J176" s="258">
        <v>0</v>
      </c>
    </row>
    <row r="177" spans="1:10" ht="13.5" thickBot="1" x14ac:dyDescent="0.35">
      <c r="A177" s="255" t="s">
        <v>207</v>
      </c>
      <c r="B177" s="256">
        <v>918</v>
      </c>
      <c r="C177" s="257">
        <v>1837</v>
      </c>
      <c r="D177" s="257">
        <v>50</v>
      </c>
      <c r="E177" s="257">
        <v>194</v>
      </c>
      <c r="F177" s="257">
        <v>18.100000000000001</v>
      </c>
      <c r="G177" s="257">
        <v>0.25600000000000001</v>
      </c>
      <c r="H177" s="257">
        <v>88.1</v>
      </c>
      <c r="I177" s="257">
        <v>10.7</v>
      </c>
      <c r="J177" s="258">
        <v>0</v>
      </c>
    </row>
    <row r="178" spans="1:10" ht="13.5" thickBot="1" x14ac:dyDescent="0.35">
      <c r="A178" s="255" t="s">
        <v>216</v>
      </c>
      <c r="B178" s="256">
        <v>896</v>
      </c>
      <c r="C178" s="257">
        <v>2226</v>
      </c>
      <c r="D178" s="257">
        <v>40.299999999999997</v>
      </c>
      <c r="E178" s="257">
        <v>170</v>
      </c>
      <c r="F178" s="257">
        <v>15.9</v>
      </c>
      <c r="G178" s="257">
        <v>0.27</v>
      </c>
      <c r="H178" s="257">
        <v>89.6</v>
      </c>
      <c r="I178" s="257">
        <v>16.899999999999999</v>
      </c>
      <c r="J178" s="258">
        <v>0</v>
      </c>
    </row>
    <row r="179" spans="1:10" ht="13.5" thickBot="1" x14ac:dyDescent="0.35">
      <c r="A179" s="255" t="s">
        <v>304</v>
      </c>
      <c r="B179" s="256">
        <v>882</v>
      </c>
      <c r="C179" s="257">
        <v>1220</v>
      </c>
      <c r="D179" s="257">
        <v>72.3</v>
      </c>
      <c r="E179" s="257">
        <v>131</v>
      </c>
      <c r="F179" s="257">
        <v>34.200000000000003</v>
      </c>
      <c r="G179" s="257">
        <v>0.21099999999999999</v>
      </c>
      <c r="H179" s="257">
        <v>89.3</v>
      </c>
      <c r="I179" s="257">
        <v>22.9</v>
      </c>
      <c r="J179" s="258">
        <v>0</v>
      </c>
    </row>
    <row r="180" spans="1:10" ht="13.5" thickBot="1" x14ac:dyDescent="0.35">
      <c r="A180" s="255" t="s">
        <v>208</v>
      </c>
      <c r="B180" s="256">
        <v>864</v>
      </c>
      <c r="C180" s="257">
        <v>2176</v>
      </c>
      <c r="D180" s="257">
        <v>39.700000000000003</v>
      </c>
      <c r="E180" s="257">
        <v>138</v>
      </c>
      <c r="F180" s="257">
        <v>19.3</v>
      </c>
      <c r="G180" s="257">
        <v>0.253</v>
      </c>
      <c r="H180" s="257">
        <v>89.9</v>
      </c>
      <c r="I180" s="257">
        <v>10.9</v>
      </c>
      <c r="J180" s="258">
        <v>0</v>
      </c>
    </row>
    <row r="181" spans="1:10" ht="13.5" thickBot="1" x14ac:dyDescent="0.35">
      <c r="A181" s="255" t="s">
        <v>209</v>
      </c>
      <c r="B181" s="256">
        <v>858</v>
      </c>
      <c r="C181" s="257">
        <v>2751</v>
      </c>
      <c r="D181" s="257">
        <v>31.2</v>
      </c>
      <c r="E181" s="257">
        <v>146</v>
      </c>
      <c r="F181" s="257">
        <v>26.5</v>
      </c>
      <c r="G181" s="257">
        <v>0.23200000000000001</v>
      </c>
      <c r="H181" s="257">
        <v>90.4</v>
      </c>
      <c r="I181" s="257">
        <v>18.600000000000001</v>
      </c>
      <c r="J181" s="258">
        <v>0</v>
      </c>
    </row>
    <row r="182" spans="1:10" ht="13.5" thickBot="1" x14ac:dyDescent="0.35">
      <c r="A182" s="255" t="s">
        <v>201</v>
      </c>
      <c r="B182" s="256">
        <v>856</v>
      </c>
      <c r="C182" s="257">
        <v>1490</v>
      </c>
      <c r="D182" s="257">
        <v>57.4</v>
      </c>
      <c r="E182" s="257">
        <v>162</v>
      </c>
      <c r="F182" s="257">
        <v>14.6</v>
      </c>
      <c r="G182" s="257">
        <v>0.26300000000000001</v>
      </c>
      <c r="H182" s="257">
        <v>87.2</v>
      </c>
      <c r="I182" s="257">
        <v>17.3</v>
      </c>
      <c r="J182" s="258">
        <v>0</v>
      </c>
    </row>
    <row r="183" spans="1:10" ht="13.5" thickBot="1" x14ac:dyDescent="0.35">
      <c r="A183" s="255" t="s">
        <v>203</v>
      </c>
      <c r="B183" s="256">
        <v>847</v>
      </c>
      <c r="C183" s="257">
        <v>2372</v>
      </c>
      <c r="D183" s="257">
        <v>35.700000000000003</v>
      </c>
      <c r="E183" s="257">
        <v>150</v>
      </c>
      <c r="F183" s="257">
        <v>21.6</v>
      </c>
      <c r="G183" s="257">
        <v>0.28100000000000003</v>
      </c>
      <c r="H183" s="257">
        <v>88.3</v>
      </c>
      <c r="I183" s="257">
        <v>10.1</v>
      </c>
      <c r="J183" s="258">
        <v>0</v>
      </c>
    </row>
    <row r="184" spans="1:10" ht="13.5" thickBot="1" x14ac:dyDescent="0.35">
      <c r="A184" s="255" t="s">
        <v>300</v>
      </c>
      <c r="B184" s="256">
        <v>785</v>
      </c>
      <c r="C184" s="257">
        <v>2297</v>
      </c>
      <c r="D184" s="257">
        <v>34.200000000000003</v>
      </c>
      <c r="E184" s="257">
        <v>130</v>
      </c>
      <c r="F184" s="257">
        <v>20</v>
      </c>
      <c r="G184" s="257">
        <v>0.27200000000000002</v>
      </c>
      <c r="H184" s="257">
        <v>89</v>
      </c>
      <c r="I184" s="257">
        <v>14.8</v>
      </c>
      <c r="J184" s="258">
        <v>0</v>
      </c>
    </row>
    <row r="185" spans="1:10" ht="13.5" thickBot="1" x14ac:dyDescent="0.35">
      <c r="A185" s="255" t="s">
        <v>237</v>
      </c>
      <c r="B185" s="256">
        <v>742</v>
      </c>
      <c r="C185" s="257">
        <v>1522</v>
      </c>
      <c r="D185" s="257">
        <v>48.8</v>
      </c>
      <c r="E185" s="257">
        <v>124</v>
      </c>
      <c r="F185" s="257">
        <v>21.8</v>
      </c>
      <c r="G185" s="257">
        <v>0.224</v>
      </c>
      <c r="H185" s="257">
        <v>87.9</v>
      </c>
      <c r="I185" s="257">
        <v>16.2</v>
      </c>
      <c r="J185" s="258">
        <v>0</v>
      </c>
    </row>
    <row r="186" spans="1:10" ht="13.5" thickBot="1" x14ac:dyDescent="0.35">
      <c r="A186" s="255" t="s">
        <v>295</v>
      </c>
      <c r="B186" s="256">
        <v>733</v>
      </c>
      <c r="C186" s="257">
        <v>943</v>
      </c>
      <c r="D186" s="257">
        <v>77.7</v>
      </c>
      <c r="E186" s="257">
        <v>100</v>
      </c>
      <c r="F186" s="257">
        <v>24.4</v>
      </c>
      <c r="G186" s="257">
        <v>0.20799999999999999</v>
      </c>
      <c r="H186" s="257">
        <v>88.7</v>
      </c>
      <c r="I186" s="257">
        <v>18.3</v>
      </c>
      <c r="J186" s="258">
        <v>0</v>
      </c>
    </row>
    <row r="187" spans="1:10" ht="13.5" thickBot="1" x14ac:dyDescent="0.35">
      <c r="A187" s="255" t="s">
        <v>308</v>
      </c>
      <c r="B187" s="256">
        <v>701</v>
      </c>
      <c r="C187" s="257">
        <v>1584</v>
      </c>
      <c r="D187" s="257">
        <v>44.3</v>
      </c>
      <c r="E187" s="257">
        <v>116</v>
      </c>
      <c r="F187" s="257">
        <v>28</v>
      </c>
      <c r="G187" s="257">
        <v>0.215</v>
      </c>
      <c r="H187" s="257">
        <v>86.9</v>
      </c>
      <c r="I187" s="257">
        <v>14.4</v>
      </c>
      <c r="J187" s="258">
        <v>0</v>
      </c>
    </row>
    <row r="188" spans="1:10" ht="13.5" thickBot="1" x14ac:dyDescent="0.35">
      <c r="A188" s="255" t="s">
        <v>302</v>
      </c>
      <c r="B188" s="256">
        <v>698</v>
      </c>
      <c r="C188" s="257">
        <v>1504</v>
      </c>
      <c r="D188" s="257">
        <v>46.4</v>
      </c>
      <c r="E188" s="257">
        <v>101</v>
      </c>
      <c r="F188" s="257">
        <v>28.2</v>
      </c>
      <c r="G188" s="257">
        <v>0.155</v>
      </c>
      <c r="H188" s="257">
        <v>87.9</v>
      </c>
      <c r="I188" s="257">
        <v>16.7</v>
      </c>
      <c r="J188" s="258">
        <v>0</v>
      </c>
    </row>
    <row r="189" spans="1:10" ht="13.5" thickBot="1" x14ac:dyDescent="0.35">
      <c r="A189" s="255" t="s">
        <v>294</v>
      </c>
      <c r="B189" s="256">
        <v>682</v>
      </c>
      <c r="C189" s="257">
        <v>996</v>
      </c>
      <c r="D189" s="257">
        <v>68.5</v>
      </c>
      <c r="E189" s="257">
        <v>114</v>
      </c>
      <c r="F189" s="257">
        <v>28</v>
      </c>
      <c r="G189" s="257">
        <v>0.21199999999999999</v>
      </c>
      <c r="H189" s="257">
        <v>91</v>
      </c>
      <c r="I189" s="257">
        <v>18.899999999999999</v>
      </c>
      <c r="J189" s="258">
        <v>0</v>
      </c>
    </row>
    <row r="190" spans="1:10" ht="13.5" thickBot="1" x14ac:dyDescent="0.35">
      <c r="A190" s="255" t="s">
        <v>318</v>
      </c>
      <c r="B190" s="256">
        <v>661</v>
      </c>
      <c r="C190" s="257">
        <v>2466</v>
      </c>
      <c r="D190" s="257">
        <v>26.8</v>
      </c>
      <c r="E190" s="257">
        <v>104</v>
      </c>
      <c r="F190" s="257">
        <v>25.2</v>
      </c>
      <c r="G190" s="257">
        <v>0.23100000000000001</v>
      </c>
      <c r="H190" s="257">
        <v>89</v>
      </c>
      <c r="I190" s="257">
        <v>22.4</v>
      </c>
      <c r="J190" s="258">
        <v>0</v>
      </c>
    </row>
    <row r="191" spans="1:10" ht="13.5" thickBot="1" x14ac:dyDescent="0.35">
      <c r="A191" s="255" t="s">
        <v>317</v>
      </c>
      <c r="B191" s="256">
        <v>655</v>
      </c>
      <c r="C191" s="257">
        <v>1620</v>
      </c>
      <c r="D191" s="257">
        <v>40.4</v>
      </c>
      <c r="E191" s="257">
        <v>87</v>
      </c>
      <c r="F191" s="257">
        <v>27</v>
      </c>
      <c r="G191" s="257">
        <v>0.23100000000000001</v>
      </c>
      <c r="H191" s="257">
        <v>87.8</v>
      </c>
      <c r="I191" s="257">
        <v>11.6</v>
      </c>
      <c r="J191" s="258">
        <v>0</v>
      </c>
    </row>
    <row r="192" spans="1:10" ht="13.5" thickBot="1" x14ac:dyDescent="0.35">
      <c r="A192" s="255" t="s">
        <v>307</v>
      </c>
      <c r="B192" s="256">
        <v>647</v>
      </c>
      <c r="C192" s="257">
        <v>2078</v>
      </c>
      <c r="D192" s="257">
        <v>31.1</v>
      </c>
      <c r="E192" s="257">
        <v>99</v>
      </c>
      <c r="F192" s="257">
        <v>22.1</v>
      </c>
      <c r="G192" s="257">
        <v>0.23100000000000001</v>
      </c>
      <c r="H192" s="257">
        <v>89</v>
      </c>
      <c r="I192" s="257">
        <v>22</v>
      </c>
      <c r="J192" s="258">
        <v>0</v>
      </c>
    </row>
    <row r="193" spans="1:10" ht="13.5" thickBot="1" x14ac:dyDescent="0.35">
      <c r="A193" s="255" t="s">
        <v>301</v>
      </c>
      <c r="B193" s="256">
        <v>643</v>
      </c>
      <c r="C193" s="257">
        <v>2426</v>
      </c>
      <c r="D193" s="257">
        <v>26.5</v>
      </c>
      <c r="E193" s="257">
        <v>109</v>
      </c>
      <c r="F193" s="257">
        <v>16.3</v>
      </c>
      <c r="G193" s="257">
        <v>0.247</v>
      </c>
      <c r="H193" s="257">
        <v>86.7</v>
      </c>
      <c r="I193" s="257">
        <v>15.2</v>
      </c>
      <c r="J193" s="258">
        <v>0</v>
      </c>
    </row>
    <row r="194" spans="1:10" ht="13.5" thickBot="1" x14ac:dyDescent="0.35">
      <c r="A194" s="255" t="s">
        <v>296</v>
      </c>
      <c r="B194" s="256">
        <v>589</v>
      </c>
      <c r="C194" s="257">
        <v>2218</v>
      </c>
      <c r="D194" s="257">
        <v>26.6</v>
      </c>
      <c r="E194" s="257">
        <v>89</v>
      </c>
      <c r="F194" s="257">
        <v>20.9</v>
      </c>
      <c r="G194" s="257">
        <v>0.20899999999999999</v>
      </c>
      <c r="H194" s="257">
        <v>85</v>
      </c>
      <c r="I194" s="257">
        <v>14.5</v>
      </c>
      <c r="J194" s="258">
        <v>0</v>
      </c>
    </row>
    <row r="195" spans="1:10" ht="13.5" thickBot="1" x14ac:dyDescent="0.35">
      <c r="A195" s="255" t="s">
        <v>306</v>
      </c>
      <c r="B195" s="256">
        <v>582</v>
      </c>
      <c r="C195" s="257">
        <v>2359</v>
      </c>
      <c r="D195" s="257">
        <v>24.7</v>
      </c>
      <c r="E195" s="257">
        <v>88</v>
      </c>
      <c r="F195" s="257">
        <v>18</v>
      </c>
      <c r="G195" s="257">
        <v>0.188</v>
      </c>
      <c r="H195" s="257">
        <v>85</v>
      </c>
      <c r="I195" s="257">
        <v>15</v>
      </c>
      <c r="J195" s="258">
        <v>0</v>
      </c>
    </row>
    <row r="196" spans="1:10" ht="13.5" thickBot="1" x14ac:dyDescent="0.35">
      <c r="A196" s="255" t="s">
        <v>328</v>
      </c>
      <c r="B196" s="256">
        <v>581</v>
      </c>
      <c r="C196" s="257">
        <v>2637</v>
      </c>
      <c r="D196" s="257">
        <v>22</v>
      </c>
      <c r="E196" s="257">
        <v>78</v>
      </c>
      <c r="F196" s="257">
        <v>26.8</v>
      </c>
      <c r="G196" s="257">
        <v>0.246</v>
      </c>
      <c r="H196" s="257">
        <v>92.7</v>
      </c>
      <c r="I196" s="257">
        <v>20.9</v>
      </c>
      <c r="J196" s="258">
        <v>0</v>
      </c>
    </row>
    <row r="197" spans="1:10" ht="13.5" thickBot="1" x14ac:dyDescent="0.35">
      <c r="A197" s="255" t="s">
        <v>305</v>
      </c>
      <c r="B197" s="256">
        <v>557</v>
      </c>
      <c r="C197" s="257">
        <v>1594</v>
      </c>
      <c r="D197" s="257">
        <v>34.9</v>
      </c>
      <c r="E197" s="257">
        <v>70</v>
      </c>
      <c r="F197" s="257">
        <v>29.3</v>
      </c>
      <c r="G197" s="257">
        <v>0.21299999999999999</v>
      </c>
      <c r="H197" s="257">
        <v>87.4</v>
      </c>
      <c r="I197" s="257">
        <v>7.7</v>
      </c>
      <c r="J197" s="258">
        <v>0</v>
      </c>
    </row>
    <row r="198" spans="1:10" ht="13.5" thickBot="1" x14ac:dyDescent="0.35">
      <c r="A198" s="255" t="s">
        <v>299</v>
      </c>
      <c r="B198" s="256">
        <v>549</v>
      </c>
      <c r="C198" s="257">
        <v>2004</v>
      </c>
      <c r="D198" s="257">
        <v>27.4</v>
      </c>
      <c r="E198" s="257">
        <v>99</v>
      </c>
      <c r="F198" s="257">
        <v>25.4</v>
      </c>
      <c r="G198" s="257">
        <v>0.22700000000000001</v>
      </c>
      <c r="H198" s="257">
        <v>87.3</v>
      </c>
      <c r="I198" s="257">
        <v>8.1</v>
      </c>
      <c r="J198" s="258">
        <v>0</v>
      </c>
    </row>
    <row r="199" spans="1:10" ht="13.5" thickBot="1" x14ac:dyDescent="0.35">
      <c r="A199" s="255" t="s">
        <v>298</v>
      </c>
      <c r="B199" s="256">
        <v>530</v>
      </c>
      <c r="C199" s="257">
        <v>1035</v>
      </c>
      <c r="D199" s="257">
        <v>51.2</v>
      </c>
      <c r="E199" s="257">
        <v>94</v>
      </c>
      <c r="F199" s="257">
        <v>24.1</v>
      </c>
      <c r="G199" s="257">
        <v>0.23</v>
      </c>
      <c r="H199" s="257">
        <v>88.1</v>
      </c>
      <c r="I199" s="257">
        <v>15.2</v>
      </c>
      <c r="J199" s="258">
        <v>0</v>
      </c>
    </row>
    <row r="200" spans="1:10" ht="13.5" thickBot="1" x14ac:dyDescent="0.35">
      <c r="A200" s="255" t="s">
        <v>329</v>
      </c>
      <c r="B200" s="256">
        <v>528</v>
      </c>
      <c r="C200" s="257">
        <v>2373</v>
      </c>
      <c r="D200" s="257">
        <v>22.3</v>
      </c>
      <c r="E200" s="257">
        <v>70</v>
      </c>
      <c r="F200" s="257">
        <v>26.1</v>
      </c>
      <c r="G200" s="257">
        <v>0.22600000000000001</v>
      </c>
      <c r="H200" s="257">
        <v>89.4</v>
      </c>
      <c r="I200" s="257">
        <v>19.3</v>
      </c>
      <c r="J200" s="258">
        <v>0</v>
      </c>
    </row>
    <row r="201" spans="1:10" ht="13.5" thickBot="1" x14ac:dyDescent="0.35">
      <c r="A201" s="255" t="s">
        <v>313</v>
      </c>
      <c r="B201" s="256">
        <v>528</v>
      </c>
      <c r="C201" s="257">
        <v>1385</v>
      </c>
      <c r="D201" s="257">
        <v>38.1</v>
      </c>
      <c r="E201" s="257">
        <v>91</v>
      </c>
      <c r="F201" s="257">
        <v>16.7</v>
      </c>
      <c r="G201" s="257">
        <v>0.222</v>
      </c>
      <c r="H201" s="257">
        <v>88.8</v>
      </c>
      <c r="I201" s="257">
        <v>15.9</v>
      </c>
      <c r="J201" s="258">
        <v>0</v>
      </c>
    </row>
    <row r="202" spans="1:10" ht="13.5" thickBot="1" x14ac:dyDescent="0.35">
      <c r="A202" s="255" t="s">
        <v>330</v>
      </c>
      <c r="B202" s="256">
        <v>523</v>
      </c>
      <c r="C202" s="257">
        <v>2500</v>
      </c>
      <c r="D202" s="257">
        <v>20.9</v>
      </c>
      <c r="E202" s="257">
        <v>75</v>
      </c>
      <c r="F202" s="257">
        <v>23.7</v>
      </c>
      <c r="G202" s="257">
        <v>0.25800000000000001</v>
      </c>
      <c r="H202" s="257">
        <v>88.3</v>
      </c>
      <c r="I202" s="257">
        <v>19.600000000000001</v>
      </c>
      <c r="J202" s="258">
        <v>0</v>
      </c>
    </row>
    <row r="203" spans="1:10" ht="13.5" thickBot="1" x14ac:dyDescent="0.35">
      <c r="A203" s="255" t="s">
        <v>312</v>
      </c>
      <c r="B203" s="256">
        <v>500</v>
      </c>
      <c r="C203" s="257">
        <v>1274</v>
      </c>
      <c r="D203" s="257">
        <v>39.200000000000003</v>
      </c>
      <c r="E203" s="257">
        <v>88</v>
      </c>
      <c r="F203" s="257">
        <v>20.5</v>
      </c>
      <c r="G203" s="257">
        <v>0.20599999999999999</v>
      </c>
      <c r="H203" s="257">
        <v>84.7</v>
      </c>
      <c r="I203" s="257">
        <v>16.3</v>
      </c>
      <c r="J203" s="258">
        <v>0</v>
      </c>
    </row>
    <row r="204" spans="1:10" ht="13.5" thickBot="1" x14ac:dyDescent="0.35">
      <c r="A204" s="255" t="s">
        <v>309</v>
      </c>
      <c r="B204" s="256">
        <v>499</v>
      </c>
      <c r="C204" s="257">
        <v>1418</v>
      </c>
      <c r="D204" s="257">
        <v>35.200000000000003</v>
      </c>
      <c r="E204" s="257">
        <v>96</v>
      </c>
      <c r="F204" s="257">
        <v>19.2</v>
      </c>
      <c r="G204" s="257">
        <v>0.221</v>
      </c>
      <c r="H204" s="257">
        <v>86.2</v>
      </c>
      <c r="I204" s="257">
        <v>10.4</v>
      </c>
      <c r="J204" s="258">
        <v>0</v>
      </c>
    </row>
    <row r="205" spans="1:10" ht="13.5" thickBot="1" x14ac:dyDescent="0.35">
      <c r="A205" s="255" t="s">
        <v>314</v>
      </c>
      <c r="B205" s="256">
        <v>497</v>
      </c>
      <c r="C205" s="257">
        <v>1006</v>
      </c>
      <c r="D205" s="257">
        <v>49.4</v>
      </c>
      <c r="E205" s="257">
        <v>69</v>
      </c>
      <c r="F205" s="257">
        <v>28.4</v>
      </c>
      <c r="G205" s="257">
        <v>0.16900000000000001</v>
      </c>
      <c r="H205" s="257">
        <v>87.1</v>
      </c>
      <c r="I205" s="257">
        <v>16.399999999999999</v>
      </c>
      <c r="J205" s="258">
        <v>0</v>
      </c>
    </row>
    <row r="206" spans="1:10" ht="13.5" thickBot="1" x14ac:dyDescent="0.35">
      <c r="A206" s="255" t="s">
        <v>293</v>
      </c>
      <c r="B206" s="256">
        <v>494</v>
      </c>
      <c r="C206" s="257">
        <v>1436</v>
      </c>
      <c r="D206" s="257">
        <v>34.4</v>
      </c>
      <c r="E206" s="257">
        <v>79</v>
      </c>
      <c r="F206" s="257">
        <v>29.1</v>
      </c>
      <c r="G206" s="257">
        <v>0.19</v>
      </c>
      <c r="H206" s="257">
        <v>88.4</v>
      </c>
      <c r="I206" s="257">
        <v>7.9</v>
      </c>
      <c r="J206" s="258">
        <v>0</v>
      </c>
    </row>
    <row r="207" spans="1:10" ht="13.5" thickBot="1" x14ac:dyDescent="0.35">
      <c r="A207" s="255" t="s">
        <v>315</v>
      </c>
      <c r="B207" s="256">
        <v>484</v>
      </c>
      <c r="C207" s="257">
        <v>1423</v>
      </c>
      <c r="D207" s="257">
        <v>34</v>
      </c>
      <c r="E207" s="257">
        <v>94</v>
      </c>
      <c r="F207" s="257">
        <v>16.399999999999999</v>
      </c>
      <c r="G207" s="257">
        <v>0.20799999999999999</v>
      </c>
      <c r="H207" s="257">
        <v>87.2</v>
      </c>
      <c r="I207" s="257">
        <v>14.4</v>
      </c>
      <c r="J207" s="258">
        <v>0</v>
      </c>
    </row>
    <row r="208" spans="1:10" ht="13.5" thickBot="1" x14ac:dyDescent="0.35">
      <c r="A208" s="255" t="s">
        <v>410</v>
      </c>
      <c r="B208" s="256">
        <v>484</v>
      </c>
      <c r="C208" s="257">
        <v>783</v>
      </c>
      <c r="D208" s="257">
        <v>61.8</v>
      </c>
      <c r="E208" s="257">
        <v>62</v>
      </c>
      <c r="F208" s="257">
        <v>26.4</v>
      </c>
      <c r="G208" s="257">
        <v>0.18099999999999999</v>
      </c>
      <c r="H208" s="257">
        <v>85.7</v>
      </c>
      <c r="I208" s="257">
        <v>24.9</v>
      </c>
      <c r="J208" s="258">
        <v>0</v>
      </c>
    </row>
    <row r="209" spans="1:10" ht="13.5" thickBot="1" x14ac:dyDescent="0.35">
      <c r="A209" s="255" t="s">
        <v>316</v>
      </c>
      <c r="B209" s="256">
        <v>483</v>
      </c>
      <c r="C209" s="257">
        <v>918</v>
      </c>
      <c r="D209" s="257">
        <v>52.6</v>
      </c>
      <c r="E209" s="257">
        <v>95</v>
      </c>
      <c r="F209" s="257">
        <v>21</v>
      </c>
      <c r="G209" s="257">
        <v>0.246</v>
      </c>
      <c r="H209" s="257">
        <v>89.4</v>
      </c>
      <c r="I209" s="257">
        <v>6.2</v>
      </c>
      <c r="J209" s="258">
        <v>0</v>
      </c>
    </row>
    <row r="210" spans="1:10" ht="13.5" thickBot="1" x14ac:dyDescent="0.35">
      <c r="A210" s="255" t="s">
        <v>310</v>
      </c>
      <c r="B210" s="256">
        <v>476</v>
      </c>
      <c r="C210" s="257">
        <v>907</v>
      </c>
      <c r="D210" s="257">
        <v>52.5</v>
      </c>
      <c r="E210" s="257">
        <v>94</v>
      </c>
      <c r="F210" s="257">
        <v>22.2</v>
      </c>
      <c r="G210" s="257">
        <v>0.255</v>
      </c>
      <c r="H210" s="257">
        <v>89.8</v>
      </c>
      <c r="I210" s="257">
        <v>17.3</v>
      </c>
      <c r="J210" s="258">
        <v>0</v>
      </c>
    </row>
    <row r="211" spans="1:10" ht="13.5" thickBot="1" x14ac:dyDescent="0.35">
      <c r="A211" s="255" t="s">
        <v>411</v>
      </c>
      <c r="B211" s="256">
        <v>474</v>
      </c>
      <c r="C211" s="257">
        <v>1146</v>
      </c>
      <c r="D211" s="257">
        <v>41.4</v>
      </c>
      <c r="E211" s="257">
        <v>44</v>
      </c>
      <c r="F211" s="257">
        <v>35.1</v>
      </c>
      <c r="G211" s="257">
        <v>0.20100000000000001</v>
      </c>
      <c r="H211" s="257">
        <v>89.1</v>
      </c>
      <c r="I211" s="257">
        <v>15.1</v>
      </c>
      <c r="J211" s="258">
        <v>0</v>
      </c>
    </row>
    <row r="212" spans="1:10" ht="13.5" thickBot="1" x14ac:dyDescent="0.35">
      <c r="A212" s="255" t="s">
        <v>331</v>
      </c>
      <c r="B212" s="256">
        <v>455</v>
      </c>
      <c r="C212" s="257">
        <v>1733</v>
      </c>
      <c r="D212" s="257">
        <v>26.3</v>
      </c>
      <c r="E212" s="257">
        <v>87</v>
      </c>
      <c r="F212" s="257">
        <v>21</v>
      </c>
      <c r="G212" s="257">
        <v>0.26300000000000001</v>
      </c>
      <c r="H212" s="257">
        <v>83.4</v>
      </c>
      <c r="I212" s="257">
        <v>17.100000000000001</v>
      </c>
      <c r="J212" s="258">
        <v>0</v>
      </c>
    </row>
    <row r="213" spans="1:10" ht="13.5" thickBot="1" x14ac:dyDescent="0.35">
      <c r="A213" s="255" t="s">
        <v>290</v>
      </c>
      <c r="B213" s="256">
        <v>449</v>
      </c>
      <c r="C213" s="257">
        <v>696</v>
      </c>
      <c r="D213" s="257">
        <v>64.5</v>
      </c>
      <c r="E213" s="257">
        <v>85</v>
      </c>
      <c r="F213" s="257">
        <v>13</v>
      </c>
      <c r="G213" s="257">
        <v>0.27500000000000002</v>
      </c>
      <c r="H213" s="257">
        <v>86.8</v>
      </c>
      <c r="I213" s="257">
        <v>15.3</v>
      </c>
      <c r="J213" s="258">
        <v>0</v>
      </c>
    </row>
    <row r="214" spans="1:10" ht="13.5" thickBot="1" x14ac:dyDescent="0.35">
      <c r="A214" s="255" t="s">
        <v>289</v>
      </c>
      <c r="B214" s="256">
        <v>444</v>
      </c>
      <c r="C214" s="257">
        <v>2371</v>
      </c>
      <c r="D214" s="257">
        <v>18.7</v>
      </c>
      <c r="E214" s="257">
        <v>85</v>
      </c>
      <c r="F214" s="257">
        <v>19.5</v>
      </c>
      <c r="G214" s="257">
        <v>0.26200000000000001</v>
      </c>
      <c r="H214" s="257">
        <v>92</v>
      </c>
      <c r="I214" s="257">
        <v>18.899999999999999</v>
      </c>
      <c r="J214" s="258">
        <v>0</v>
      </c>
    </row>
    <row r="215" spans="1:10" ht="13.5" thickBot="1" x14ac:dyDescent="0.35">
      <c r="A215" s="255" t="s">
        <v>412</v>
      </c>
      <c r="B215" s="256">
        <v>419</v>
      </c>
      <c r="C215" s="257">
        <v>1376</v>
      </c>
      <c r="D215" s="257">
        <v>30.5</v>
      </c>
      <c r="E215" s="257">
        <v>69</v>
      </c>
      <c r="F215" s="257">
        <v>23.7</v>
      </c>
      <c r="G215" s="257">
        <v>0.24099999999999999</v>
      </c>
      <c r="H215" s="257">
        <v>87.2</v>
      </c>
      <c r="I215" s="257">
        <v>17.600000000000001</v>
      </c>
      <c r="J215" s="258">
        <v>0</v>
      </c>
    </row>
    <row r="216" spans="1:10" ht="13.5" thickBot="1" x14ac:dyDescent="0.35">
      <c r="A216" s="255" t="s">
        <v>413</v>
      </c>
      <c r="B216" s="256">
        <v>408</v>
      </c>
      <c r="C216" s="257">
        <v>1475</v>
      </c>
      <c r="D216" s="257">
        <v>27.7</v>
      </c>
      <c r="E216" s="257">
        <v>57</v>
      </c>
      <c r="F216" s="257">
        <v>33</v>
      </c>
      <c r="G216" s="257">
        <v>0.20300000000000001</v>
      </c>
      <c r="H216" s="257">
        <v>90.3</v>
      </c>
      <c r="I216" s="257">
        <v>14.1</v>
      </c>
      <c r="J216" s="258">
        <v>0</v>
      </c>
    </row>
    <row r="217" spans="1:10" ht="13.5" thickBot="1" x14ac:dyDescent="0.35">
      <c r="A217" s="255" t="s">
        <v>291</v>
      </c>
      <c r="B217" s="256">
        <v>399</v>
      </c>
      <c r="C217" s="257">
        <v>1648</v>
      </c>
      <c r="D217" s="257">
        <v>24.2</v>
      </c>
      <c r="E217" s="257">
        <v>60</v>
      </c>
      <c r="F217" s="257">
        <v>34.6</v>
      </c>
      <c r="G217" s="257">
        <v>0.183</v>
      </c>
      <c r="H217" s="257">
        <v>87.9</v>
      </c>
      <c r="I217" s="257">
        <v>10.5</v>
      </c>
      <c r="J217" s="258">
        <v>0</v>
      </c>
    </row>
    <row r="218" spans="1:10" ht="13.5" thickBot="1" x14ac:dyDescent="0.35">
      <c r="A218" s="255" t="s">
        <v>332</v>
      </c>
      <c r="B218" s="256">
        <v>394</v>
      </c>
      <c r="C218" s="257">
        <v>1980</v>
      </c>
      <c r="D218" s="257">
        <v>19.899999999999999</v>
      </c>
      <c r="E218" s="257">
        <v>42</v>
      </c>
      <c r="F218" s="257">
        <v>38.6</v>
      </c>
      <c r="G218" s="257">
        <v>0.182</v>
      </c>
      <c r="H218" s="257">
        <v>84.8</v>
      </c>
      <c r="I218" s="257">
        <v>22</v>
      </c>
      <c r="J218" s="258">
        <v>0</v>
      </c>
    </row>
    <row r="219" spans="1:10" ht="13.5" thickBot="1" x14ac:dyDescent="0.35">
      <c r="A219" s="255" t="s">
        <v>297</v>
      </c>
      <c r="B219" s="256">
        <v>380</v>
      </c>
      <c r="C219" s="257">
        <v>2051</v>
      </c>
      <c r="D219" s="257">
        <v>18.5</v>
      </c>
      <c r="E219" s="257">
        <v>80</v>
      </c>
      <c r="F219" s="257">
        <v>11.5</v>
      </c>
      <c r="G219" s="257">
        <v>0.29699999999999999</v>
      </c>
      <c r="H219" s="257">
        <v>87.9</v>
      </c>
      <c r="I219" s="257">
        <v>13.1</v>
      </c>
      <c r="J219" s="258">
        <v>0</v>
      </c>
    </row>
    <row r="220" spans="1:10" ht="13.5" thickBot="1" x14ac:dyDescent="0.35">
      <c r="A220" s="255" t="s">
        <v>414</v>
      </c>
      <c r="B220" s="256">
        <v>372</v>
      </c>
      <c r="C220" s="257">
        <v>1149</v>
      </c>
      <c r="D220" s="257">
        <v>32.4</v>
      </c>
      <c r="E220" s="257">
        <v>55</v>
      </c>
      <c r="F220" s="257">
        <v>23.5</v>
      </c>
      <c r="G220" s="257">
        <v>0.23799999999999999</v>
      </c>
      <c r="H220" s="257">
        <v>88.5</v>
      </c>
      <c r="I220" s="257">
        <v>17.7</v>
      </c>
      <c r="J220" s="258">
        <v>0</v>
      </c>
    </row>
    <row r="221" spans="1:10" ht="13.5" thickBot="1" x14ac:dyDescent="0.35">
      <c r="A221" s="255" t="s">
        <v>292</v>
      </c>
      <c r="B221" s="256">
        <v>372</v>
      </c>
      <c r="C221" s="257">
        <v>2145</v>
      </c>
      <c r="D221" s="257">
        <v>17.3</v>
      </c>
      <c r="E221" s="257">
        <v>69</v>
      </c>
      <c r="F221" s="257">
        <v>20</v>
      </c>
      <c r="G221" s="257">
        <v>0.27100000000000002</v>
      </c>
      <c r="H221" s="257">
        <v>86.9</v>
      </c>
      <c r="I221" s="257">
        <v>10.5</v>
      </c>
      <c r="J221" s="258">
        <v>0</v>
      </c>
    </row>
    <row r="222" spans="1:10" ht="13.5" thickBot="1" x14ac:dyDescent="0.35">
      <c r="A222" s="255" t="s">
        <v>288</v>
      </c>
      <c r="B222" s="256">
        <v>368</v>
      </c>
      <c r="C222" s="257">
        <v>1415</v>
      </c>
      <c r="D222" s="257">
        <v>26</v>
      </c>
      <c r="E222" s="257">
        <v>76</v>
      </c>
      <c r="F222" s="257">
        <v>23.9</v>
      </c>
      <c r="G222" s="257">
        <v>0.19700000000000001</v>
      </c>
      <c r="H222" s="257">
        <v>81.400000000000006</v>
      </c>
      <c r="I222" s="257">
        <v>17.899999999999999</v>
      </c>
      <c r="J222" s="258">
        <v>0</v>
      </c>
    </row>
    <row r="223" spans="1:10" ht="13.5" thickBot="1" x14ac:dyDescent="0.35">
      <c r="A223" s="255" t="s">
        <v>415</v>
      </c>
      <c r="B223" s="256">
        <v>365</v>
      </c>
      <c r="C223" s="257">
        <v>1853</v>
      </c>
      <c r="D223" s="257">
        <v>19.7</v>
      </c>
      <c r="E223" s="257">
        <v>54</v>
      </c>
      <c r="F223" s="257">
        <v>29.8</v>
      </c>
      <c r="G223" s="257">
        <v>0.24399999999999999</v>
      </c>
      <c r="H223" s="257">
        <v>92.6</v>
      </c>
      <c r="I223" s="257">
        <v>11.1</v>
      </c>
      <c r="J223" s="258">
        <v>0</v>
      </c>
    </row>
    <row r="224" spans="1:10" ht="13.5" thickBot="1" x14ac:dyDescent="0.35">
      <c r="A224" s="255" t="s">
        <v>416</v>
      </c>
      <c r="B224" s="256">
        <v>353</v>
      </c>
      <c r="C224" s="257">
        <v>1974</v>
      </c>
      <c r="D224" s="257">
        <v>17.899999999999999</v>
      </c>
      <c r="E224" s="257">
        <v>47</v>
      </c>
      <c r="F224" s="257">
        <v>19.2</v>
      </c>
      <c r="G224" s="257">
        <v>0.254</v>
      </c>
      <c r="H224" s="257">
        <v>88.5</v>
      </c>
      <c r="I224" s="257">
        <v>24.3</v>
      </c>
      <c r="J224" s="258">
        <v>0</v>
      </c>
    </row>
    <row r="225" spans="1:10" ht="13.5" thickBot="1" x14ac:dyDescent="0.35">
      <c r="A225" s="255" t="s">
        <v>417</v>
      </c>
      <c r="B225" s="256">
        <v>347</v>
      </c>
      <c r="C225" s="257">
        <v>1992</v>
      </c>
      <c r="D225" s="257">
        <v>17.399999999999999</v>
      </c>
      <c r="E225" s="257">
        <v>58</v>
      </c>
      <c r="F225" s="257">
        <v>16.3</v>
      </c>
      <c r="G225" s="257">
        <v>0.26</v>
      </c>
      <c r="H225" s="257">
        <v>92</v>
      </c>
      <c r="I225" s="257">
        <v>8.8000000000000007</v>
      </c>
      <c r="J225" s="258">
        <v>0</v>
      </c>
    </row>
    <row r="226" spans="1:10" ht="13.5" thickBot="1" x14ac:dyDescent="0.35">
      <c r="A226" s="255" t="s">
        <v>418</v>
      </c>
      <c r="B226" s="256">
        <v>346</v>
      </c>
      <c r="C226" s="257">
        <v>853</v>
      </c>
      <c r="D226" s="257">
        <v>40.6</v>
      </c>
      <c r="E226" s="257">
        <v>54</v>
      </c>
      <c r="F226" s="257">
        <v>25.6</v>
      </c>
      <c r="G226" s="257">
        <v>0.17299999999999999</v>
      </c>
      <c r="H226" s="257">
        <v>84.6</v>
      </c>
      <c r="I226" s="257">
        <v>16.7</v>
      </c>
      <c r="J226" s="258">
        <v>0</v>
      </c>
    </row>
    <row r="227" spans="1:10" ht="13.5" thickBot="1" x14ac:dyDescent="0.35">
      <c r="A227" s="255" t="s">
        <v>419</v>
      </c>
      <c r="B227" s="256">
        <v>340</v>
      </c>
      <c r="C227" s="257">
        <v>1160</v>
      </c>
      <c r="D227" s="257">
        <v>29.3</v>
      </c>
      <c r="E227" s="257">
        <v>46</v>
      </c>
      <c r="F227" s="257">
        <v>35.5</v>
      </c>
      <c r="G227" s="257">
        <v>0.218</v>
      </c>
      <c r="H227" s="257">
        <v>90.8</v>
      </c>
      <c r="I227" s="257">
        <v>15.4</v>
      </c>
      <c r="J227" s="258">
        <v>0</v>
      </c>
    </row>
    <row r="228" spans="1:10" ht="13.5" thickBot="1" x14ac:dyDescent="0.35">
      <c r="A228" s="255" t="s">
        <v>420</v>
      </c>
      <c r="B228" s="256">
        <v>331</v>
      </c>
      <c r="C228" s="257">
        <v>961</v>
      </c>
      <c r="D228" s="257">
        <v>34.4</v>
      </c>
      <c r="E228" s="257">
        <v>58</v>
      </c>
      <c r="F228" s="257">
        <v>15.9</v>
      </c>
      <c r="G228" s="257">
        <v>0.22900000000000001</v>
      </c>
      <c r="H228" s="257">
        <v>90.7</v>
      </c>
      <c r="I228" s="257">
        <v>21</v>
      </c>
      <c r="J228" s="258">
        <v>0</v>
      </c>
    </row>
    <row r="229" spans="1:10" ht="13.5" thickBot="1" x14ac:dyDescent="0.35">
      <c r="A229" s="255" t="s">
        <v>421</v>
      </c>
      <c r="B229" s="256">
        <v>331</v>
      </c>
      <c r="C229" s="257">
        <v>1841</v>
      </c>
      <c r="D229" s="257">
        <v>18</v>
      </c>
      <c r="E229" s="257">
        <v>53</v>
      </c>
      <c r="F229" s="257">
        <v>27.6</v>
      </c>
      <c r="G229" s="257">
        <v>0.24399999999999999</v>
      </c>
      <c r="H229" s="257">
        <v>97.6</v>
      </c>
      <c r="I229" s="257">
        <v>7</v>
      </c>
      <c r="J229" s="258">
        <v>0</v>
      </c>
    </row>
    <row r="230" spans="1:10" ht="13.5" thickBot="1" x14ac:dyDescent="0.35">
      <c r="A230" s="255" t="s">
        <v>422</v>
      </c>
      <c r="B230" s="256">
        <v>328</v>
      </c>
      <c r="C230" s="257">
        <v>1977</v>
      </c>
      <c r="D230" s="257">
        <v>16.600000000000001</v>
      </c>
      <c r="E230" s="257">
        <v>50</v>
      </c>
      <c r="F230" s="257">
        <v>25</v>
      </c>
      <c r="G230" s="257">
        <v>0.25700000000000001</v>
      </c>
      <c r="H230" s="257">
        <v>90.2</v>
      </c>
      <c r="I230" s="257">
        <v>12.1</v>
      </c>
      <c r="J230" s="258">
        <v>0</v>
      </c>
    </row>
    <row r="231" spans="1:10" ht="13.5" thickBot="1" x14ac:dyDescent="0.35">
      <c r="A231" s="255" t="s">
        <v>423</v>
      </c>
      <c r="B231" s="256">
        <v>322</v>
      </c>
      <c r="C231" s="257">
        <v>482</v>
      </c>
      <c r="D231" s="257">
        <v>66.8</v>
      </c>
      <c r="E231" s="257">
        <v>43</v>
      </c>
      <c r="F231" s="257">
        <v>40</v>
      </c>
      <c r="G231" s="257">
        <v>0.16900000000000001</v>
      </c>
      <c r="H231" s="257">
        <v>92.4</v>
      </c>
      <c r="I231" s="257">
        <v>21.5</v>
      </c>
      <c r="J231" s="258">
        <v>0</v>
      </c>
    </row>
    <row r="232" spans="1:10" ht="13.5" thickBot="1" x14ac:dyDescent="0.35">
      <c r="A232" s="255" t="s">
        <v>424</v>
      </c>
      <c r="B232" s="256">
        <v>320</v>
      </c>
      <c r="C232" s="257">
        <v>2330</v>
      </c>
      <c r="D232" s="257">
        <v>13.7</v>
      </c>
      <c r="E232" s="257">
        <v>60</v>
      </c>
      <c r="F232" s="257">
        <v>9.5</v>
      </c>
      <c r="G232" s="257">
        <v>0.25600000000000001</v>
      </c>
      <c r="H232" s="257">
        <v>88.5</v>
      </c>
      <c r="I232" s="257">
        <v>21.2</v>
      </c>
      <c r="J232" s="258">
        <v>0</v>
      </c>
    </row>
    <row r="233" spans="1:10" ht="13.5" thickBot="1" x14ac:dyDescent="0.35">
      <c r="A233" s="255" t="s">
        <v>425</v>
      </c>
      <c r="B233" s="256">
        <v>318</v>
      </c>
      <c r="C233" s="257">
        <v>977</v>
      </c>
      <c r="D233" s="257">
        <v>32.5</v>
      </c>
      <c r="E233" s="257">
        <v>42</v>
      </c>
      <c r="F233" s="257">
        <v>37.5</v>
      </c>
      <c r="G233" s="257">
        <v>0.189</v>
      </c>
      <c r="H233" s="257">
        <v>88.3</v>
      </c>
      <c r="I233" s="257">
        <v>21.7</v>
      </c>
      <c r="J233" s="258">
        <v>0</v>
      </c>
    </row>
    <row r="234" spans="1:10" ht="13.5" thickBot="1" x14ac:dyDescent="0.35">
      <c r="A234" s="255" t="s">
        <v>426</v>
      </c>
      <c r="B234" s="256">
        <v>314</v>
      </c>
      <c r="C234" s="257">
        <v>1187</v>
      </c>
      <c r="D234" s="257">
        <v>26.5</v>
      </c>
      <c r="E234" s="257">
        <v>57</v>
      </c>
      <c r="F234" s="257">
        <v>13.9</v>
      </c>
      <c r="G234" s="257">
        <v>0.248</v>
      </c>
      <c r="H234" s="257">
        <v>84.1</v>
      </c>
      <c r="I234" s="257">
        <v>15.2</v>
      </c>
      <c r="J234" s="258">
        <v>0</v>
      </c>
    </row>
    <row r="235" spans="1:10" ht="13.5" thickBot="1" x14ac:dyDescent="0.35">
      <c r="A235" s="255" t="s">
        <v>427</v>
      </c>
      <c r="B235" s="256">
        <v>306</v>
      </c>
      <c r="C235" s="257">
        <v>1324</v>
      </c>
      <c r="D235" s="257">
        <v>23.1</v>
      </c>
      <c r="E235" s="257">
        <v>62</v>
      </c>
      <c r="F235" s="257">
        <v>16.7</v>
      </c>
      <c r="G235" s="257">
        <v>0.25900000000000001</v>
      </c>
      <c r="H235" s="257">
        <v>91</v>
      </c>
      <c r="I235" s="257">
        <v>14.6</v>
      </c>
      <c r="J235" s="258">
        <v>0</v>
      </c>
    </row>
    <row r="236" spans="1:10" ht="13.5" thickBot="1" x14ac:dyDescent="0.35">
      <c r="A236" s="255" t="s">
        <v>428</v>
      </c>
      <c r="B236" s="256">
        <v>304</v>
      </c>
      <c r="C236" s="257">
        <v>1938</v>
      </c>
      <c r="D236" s="257">
        <v>15.7</v>
      </c>
      <c r="E236" s="257">
        <v>48</v>
      </c>
      <c r="F236" s="257">
        <v>27</v>
      </c>
      <c r="G236" s="257">
        <v>0.251</v>
      </c>
      <c r="H236" s="257">
        <v>89</v>
      </c>
      <c r="I236" s="257">
        <v>16.5</v>
      </c>
      <c r="J236" s="258">
        <v>0</v>
      </c>
    </row>
    <row r="237" spans="1:10" ht="13.5" thickBot="1" x14ac:dyDescent="0.35">
      <c r="A237" s="255" t="s">
        <v>429</v>
      </c>
      <c r="B237" s="256">
        <v>290</v>
      </c>
      <c r="C237" s="257">
        <v>1367</v>
      </c>
      <c r="D237" s="257">
        <v>21.2</v>
      </c>
      <c r="E237" s="257">
        <v>55</v>
      </c>
      <c r="F237" s="257">
        <v>32.1</v>
      </c>
      <c r="G237" s="257">
        <v>0.249</v>
      </c>
      <c r="H237" s="257">
        <v>90.4</v>
      </c>
      <c r="I237" s="257">
        <v>2.6</v>
      </c>
      <c r="J237" s="258">
        <v>0</v>
      </c>
    </row>
    <row r="238" spans="1:10" ht="13.5" thickBot="1" x14ac:dyDescent="0.35">
      <c r="A238" s="255" t="s">
        <v>430</v>
      </c>
      <c r="B238" s="256">
        <v>289</v>
      </c>
      <c r="C238" s="257">
        <v>564</v>
      </c>
      <c r="D238" s="257">
        <v>51.2</v>
      </c>
      <c r="E238" s="257">
        <v>55</v>
      </c>
      <c r="F238" s="257">
        <v>21.1</v>
      </c>
      <c r="G238" s="257">
        <v>0.20799999999999999</v>
      </c>
      <c r="H238" s="257">
        <v>85</v>
      </c>
      <c r="I238" s="257">
        <v>11</v>
      </c>
      <c r="J238" s="258">
        <v>0</v>
      </c>
    </row>
    <row r="239" spans="1:10" ht="13.5" thickBot="1" x14ac:dyDescent="0.35">
      <c r="A239" s="255" t="s">
        <v>432</v>
      </c>
      <c r="B239" s="256">
        <v>286</v>
      </c>
      <c r="C239" s="257">
        <v>1617</v>
      </c>
      <c r="D239" s="257">
        <v>17.7</v>
      </c>
      <c r="E239" s="257">
        <v>41</v>
      </c>
      <c r="F239" s="257">
        <v>16.899999999999999</v>
      </c>
      <c r="G239" s="257">
        <v>0.23499999999999999</v>
      </c>
      <c r="H239" s="257">
        <v>91.1</v>
      </c>
      <c r="I239" s="257">
        <v>10.8</v>
      </c>
      <c r="J239" s="258">
        <v>0</v>
      </c>
    </row>
    <row r="240" spans="1:10" ht="13.5" thickBot="1" x14ac:dyDescent="0.35">
      <c r="A240" s="255" t="s">
        <v>431</v>
      </c>
      <c r="B240" s="256">
        <v>286</v>
      </c>
      <c r="C240" s="257">
        <v>1092</v>
      </c>
      <c r="D240" s="257">
        <v>26.2</v>
      </c>
      <c r="E240" s="257">
        <v>43</v>
      </c>
      <c r="F240" s="257">
        <v>42.9</v>
      </c>
      <c r="G240" s="257">
        <v>0.17399999999999999</v>
      </c>
      <c r="H240" s="257">
        <v>84.6</v>
      </c>
      <c r="I240" s="257">
        <v>24.4</v>
      </c>
      <c r="J240" s="258">
        <v>0</v>
      </c>
    </row>
    <row r="241" spans="1:10" ht="13.5" thickBot="1" x14ac:dyDescent="0.35">
      <c r="A241" s="255" t="s">
        <v>433</v>
      </c>
      <c r="B241" s="256">
        <v>281</v>
      </c>
      <c r="C241" s="257">
        <v>2500</v>
      </c>
      <c r="D241" s="257">
        <v>11.2</v>
      </c>
      <c r="E241" s="257">
        <v>58</v>
      </c>
      <c r="F241" s="257">
        <v>13.2</v>
      </c>
      <c r="G241" s="257">
        <v>0.307</v>
      </c>
      <c r="H241" s="257">
        <v>88.4</v>
      </c>
      <c r="I241" s="257">
        <v>7.6</v>
      </c>
      <c r="J241" s="258">
        <v>0</v>
      </c>
    </row>
    <row r="242" spans="1:10" ht="13.5" thickBot="1" x14ac:dyDescent="0.35">
      <c r="A242" s="255" t="s">
        <v>434</v>
      </c>
      <c r="B242" s="256">
        <v>272</v>
      </c>
      <c r="C242" s="257">
        <v>1900</v>
      </c>
      <c r="D242" s="257">
        <v>14.3</v>
      </c>
      <c r="E242" s="257">
        <v>44</v>
      </c>
      <c r="F242" s="257">
        <v>18.2</v>
      </c>
      <c r="G242" s="257">
        <v>0.26700000000000002</v>
      </c>
      <c r="H242" s="257">
        <v>89.2</v>
      </c>
      <c r="I242" s="257">
        <v>12.5</v>
      </c>
      <c r="J242" s="258">
        <v>0</v>
      </c>
    </row>
    <row r="243" spans="1:10" ht="13.5" thickBot="1" x14ac:dyDescent="0.35">
      <c r="A243" s="255" t="s">
        <v>435</v>
      </c>
      <c r="B243" s="256">
        <v>271</v>
      </c>
      <c r="C243" s="257">
        <v>1175</v>
      </c>
      <c r="D243" s="257">
        <v>23.1</v>
      </c>
      <c r="E243" s="257">
        <v>45</v>
      </c>
      <c r="F243" s="257">
        <v>28.4</v>
      </c>
      <c r="G243" s="257">
        <v>0.23699999999999999</v>
      </c>
      <c r="H243" s="257">
        <v>88.5</v>
      </c>
      <c r="I243" s="257">
        <v>19.2</v>
      </c>
      <c r="J243" s="258">
        <v>0</v>
      </c>
    </row>
    <row r="244" spans="1:10" ht="13.5" thickBot="1" x14ac:dyDescent="0.35">
      <c r="A244" s="255" t="s">
        <v>132</v>
      </c>
      <c r="B244" s="256">
        <v>268</v>
      </c>
      <c r="C244" s="257">
        <v>2009</v>
      </c>
      <c r="D244" s="257">
        <v>13.3</v>
      </c>
      <c r="E244" s="257">
        <v>44</v>
      </c>
      <c r="F244" s="257">
        <v>16.7</v>
      </c>
      <c r="G244" s="257">
        <v>0.21299999999999999</v>
      </c>
      <c r="H244" s="257">
        <v>87</v>
      </c>
      <c r="I244" s="257">
        <v>10.3</v>
      </c>
      <c r="J244" s="258">
        <v>0</v>
      </c>
    </row>
    <row r="245" spans="1:10" ht="13.5" thickBot="1" x14ac:dyDescent="0.35">
      <c r="A245" s="255" t="s">
        <v>436</v>
      </c>
      <c r="B245" s="256">
        <v>268</v>
      </c>
      <c r="C245" s="257">
        <v>2193</v>
      </c>
      <c r="D245" s="257">
        <v>12.2</v>
      </c>
      <c r="E245" s="257">
        <v>46</v>
      </c>
      <c r="F245" s="257">
        <v>22.7</v>
      </c>
      <c r="G245" s="257">
        <v>0.311</v>
      </c>
      <c r="H245" s="257">
        <v>92</v>
      </c>
      <c r="I245" s="257">
        <v>18.2</v>
      </c>
      <c r="J245" s="258">
        <v>0</v>
      </c>
    </row>
    <row r="246" spans="1:10" ht="13.5" thickBot="1" x14ac:dyDescent="0.35">
      <c r="A246" s="255" t="s">
        <v>437</v>
      </c>
      <c r="B246" s="256">
        <v>267</v>
      </c>
      <c r="C246" s="257">
        <v>1575</v>
      </c>
      <c r="D246" s="257">
        <v>17</v>
      </c>
      <c r="E246" s="257">
        <v>44</v>
      </c>
      <c r="F246" s="257">
        <v>25.8</v>
      </c>
      <c r="G246" s="257">
        <v>0.27500000000000002</v>
      </c>
      <c r="H246" s="257">
        <v>90.9</v>
      </c>
      <c r="I246" s="257">
        <v>19.100000000000001</v>
      </c>
      <c r="J246" s="258">
        <v>0</v>
      </c>
    </row>
    <row r="247" spans="1:10" ht="13.5" thickBot="1" x14ac:dyDescent="0.35">
      <c r="A247" s="255" t="s">
        <v>438</v>
      </c>
      <c r="B247" s="256">
        <v>264</v>
      </c>
      <c r="C247" s="257">
        <v>593</v>
      </c>
      <c r="D247" s="257">
        <v>44.5</v>
      </c>
      <c r="E247" s="257">
        <v>46</v>
      </c>
      <c r="F247" s="257">
        <v>22.5</v>
      </c>
      <c r="G247" s="257">
        <v>0.183</v>
      </c>
      <c r="H247" s="257">
        <v>89.1</v>
      </c>
      <c r="I247" s="257">
        <v>24.9</v>
      </c>
      <c r="J247" s="258">
        <v>0</v>
      </c>
    </row>
    <row r="248" spans="1:10" ht="13.5" thickBot="1" x14ac:dyDescent="0.35">
      <c r="A248" s="255" t="s">
        <v>439</v>
      </c>
      <c r="B248" s="256">
        <v>264</v>
      </c>
      <c r="C248" s="257">
        <v>2701</v>
      </c>
      <c r="D248" s="257">
        <v>9.8000000000000007</v>
      </c>
      <c r="E248" s="257">
        <v>40</v>
      </c>
      <c r="F248" s="257">
        <v>18.5</v>
      </c>
      <c r="G248" s="257">
        <v>0.27300000000000002</v>
      </c>
      <c r="H248" s="257">
        <v>91.8</v>
      </c>
      <c r="I248" s="257">
        <v>14.5</v>
      </c>
      <c r="J248" s="258">
        <v>0</v>
      </c>
    </row>
    <row r="249" spans="1:10" ht="13.5" thickBot="1" x14ac:dyDescent="0.35">
      <c r="A249" s="255" t="s">
        <v>440</v>
      </c>
      <c r="B249" s="256">
        <v>254</v>
      </c>
      <c r="C249" s="257">
        <v>1265</v>
      </c>
      <c r="D249" s="257">
        <v>20.100000000000001</v>
      </c>
      <c r="E249" s="257">
        <v>41</v>
      </c>
      <c r="F249" s="257">
        <v>30.8</v>
      </c>
      <c r="G249" s="257">
        <v>0.25900000000000001</v>
      </c>
      <c r="H249" s="257">
        <v>90.1</v>
      </c>
      <c r="I249" s="257">
        <v>17.7</v>
      </c>
      <c r="J249" s="258">
        <v>0</v>
      </c>
    </row>
    <row r="250" spans="1:10" ht="13.5" thickBot="1" x14ac:dyDescent="0.35">
      <c r="A250" s="255" t="s">
        <v>441</v>
      </c>
      <c r="B250" s="256">
        <v>253</v>
      </c>
      <c r="C250" s="257">
        <v>2389</v>
      </c>
      <c r="D250" s="257">
        <v>10.6</v>
      </c>
      <c r="E250" s="257">
        <v>39</v>
      </c>
      <c r="F250" s="257">
        <v>15.1</v>
      </c>
      <c r="G250" s="257">
        <v>0.38</v>
      </c>
      <c r="H250" s="257">
        <v>89.5</v>
      </c>
      <c r="I250" s="257">
        <v>13.8</v>
      </c>
      <c r="J250" s="258">
        <v>0</v>
      </c>
    </row>
    <row r="251" spans="1:10" ht="13.5" thickBot="1" x14ac:dyDescent="0.35">
      <c r="A251" s="255" t="s">
        <v>442</v>
      </c>
      <c r="B251" s="256">
        <v>251</v>
      </c>
      <c r="C251" s="257">
        <v>1161</v>
      </c>
      <c r="D251" s="257">
        <v>21.6</v>
      </c>
      <c r="E251" s="257">
        <v>33</v>
      </c>
      <c r="F251" s="257">
        <v>47.6</v>
      </c>
      <c r="G251" s="257">
        <v>0.17</v>
      </c>
      <c r="H251" s="257">
        <v>87.3</v>
      </c>
      <c r="I251" s="257">
        <v>16.3</v>
      </c>
      <c r="J251" s="258">
        <v>0</v>
      </c>
    </row>
    <row r="252" spans="1:10" ht="13.5" thickBot="1" x14ac:dyDescent="0.35">
      <c r="A252" s="255" t="s">
        <v>443</v>
      </c>
      <c r="B252" s="256">
        <v>250</v>
      </c>
      <c r="C252" s="257">
        <v>2340</v>
      </c>
      <c r="D252" s="257">
        <v>10.7</v>
      </c>
      <c r="E252" s="257">
        <v>47</v>
      </c>
      <c r="F252" s="257">
        <v>25</v>
      </c>
      <c r="G252" s="257">
        <v>0.29899999999999999</v>
      </c>
      <c r="H252" s="257">
        <v>94.9</v>
      </c>
      <c r="I252" s="257">
        <v>18.100000000000001</v>
      </c>
      <c r="J252" s="258">
        <v>0</v>
      </c>
    </row>
    <row r="253" spans="1:10" ht="13.5" thickBot="1" x14ac:dyDescent="0.35">
      <c r="A253" s="255" t="s">
        <v>444</v>
      </c>
      <c r="B253" s="256">
        <v>247</v>
      </c>
      <c r="C253" s="257">
        <v>810</v>
      </c>
      <c r="D253" s="257">
        <v>30.5</v>
      </c>
      <c r="E253" s="257">
        <v>29</v>
      </c>
      <c r="F253" s="257">
        <v>26.8</v>
      </c>
      <c r="G253" s="257">
        <v>0.22900000000000001</v>
      </c>
      <c r="H253" s="257">
        <v>87.3</v>
      </c>
      <c r="I253" s="257">
        <v>11.1</v>
      </c>
      <c r="J253" s="258">
        <v>0</v>
      </c>
    </row>
    <row r="254" spans="1:10" ht="13.5" thickBot="1" x14ac:dyDescent="0.35">
      <c r="A254" s="255" t="s">
        <v>445</v>
      </c>
      <c r="B254" s="256">
        <v>245</v>
      </c>
      <c r="C254" s="257">
        <v>793</v>
      </c>
      <c r="D254" s="257">
        <v>30.9</v>
      </c>
      <c r="E254" s="257">
        <v>41</v>
      </c>
      <c r="F254" s="257">
        <v>18.600000000000001</v>
      </c>
      <c r="G254" s="257">
        <v>0.193</v>
      </c>
      <c r="H254" s="257">
        <v>84.8</v>
      </c>
      <c r="I254" s="257">
        <v>21.7</v>
      </c>
      <c r="J254" s="258">
        <v>0</v>
      </c>
    </row>
    <row r="255" spans="1:10" ht="13.5" thickBot="1" x14ac:dyDescent="0.35">
      <c r="A255" s="255" t="s">
        <v>154</v>
      </c>
      <c r="B255" s="256">
        <v>239</v>
      </c>
      <c r="C255" s="257">
        <v>1900</v>
      </c>
      <c r="D255" s="257">
        <v>12.6</v>
      </c>
      <c r="E255" s="257">
        <v>40</v>
      </c>
      <c r="F255" s="257">
        <v>20.399999999999999</v>
      </c>
      <c r="G255" s="257">
        <v>0.217</v>
      </c>
      <c r="H255" s="257">
        <v>86.8</v>
      </c>
      <c r="I255" s="257">
        <v>25.9</v>
      </c>
      <c r="J255" s="258">
        <v>0</v>
      </c>
    </row>
    <row r="256" spans="1:10" ht="13.5" thickBot="1" x14ac:dyDescent="0.35">
      <c r="A256" s="255" t="s">
        <v>446</v>
      </c>
      <c r="B256" s="256">
        <v>238</v>
      </c>
      <c r="C256" s="257">
        <v>1522</v>
      </c>
      <c r="D256" s="257">
        <v>15.6</v>
      </c>
      <c r="E256" s="257">
        <v>45</v>
      </c>
      <c r="F256" s="257">
        <v>14.8</v>
      </c>
      <c r="G256" s="257">
        <v>0.26800000000000002</v>
      </c>
      <c r="H256" s="257">
        <v>89.6</v>
      </c>
      <c r="I256" s="257">
        <v>16.600000000000001</v>
      </c>
      <c r="J256" s="258">
        <v>0</v>
      </c>
    </row>
    <row r="257" spans="1:10" ht="13.5" thickBot="1" x14ac:dyDescent="0.35">
      <c r="A257" s="255" t="s">
        <v>159</v>
      </c>
      <c r="B257" s="256">
        <v>235</v>
      </c>
      <c r="C257" s="257">
        <v>1942</v>
      </c>
      <c r="D257" s="257">
        <v>12.1</v>
      </c>
      <c r="E257" s="257">
        <v>24</v>
      </c>
      <c r="F257" s="257">
        <v>24.5</v>
      </c>
      <c r="G257" s="257">
        <v>0.252</v>
      </c>
      <c r="H257" s="257">
        <v>89.5</v>
      </c>
      <c r="I257" s="257">
        <v>22.6</v>
      </c>
      <c r="J257" s="258">
        <v>0</v>
      </c>
    </row>
    <row r="258" spans="1:10" ht="13.5" thickBot="1" x14ac:dyDescent="0.35">
      <c r="A258" s="255" t="s">
        <v>448</v>
      </c>
      <c r="B258" s="256">
        <v>235</v>
      </c>
      <c r="C258" s="257">
        <v>1437</v>
      </c>
      <c r="D258" s="257">
        <v>16.399999999999999</v>
      </c>
      <c r="E258" s="257">
        <v>47</v>
      </c>
      <c r="F258" s="257">
        <v>22.2</v>
      </c>
      <c r="G258" s="257">
        <v>0.27400000000000002</v>
      </c>
      <c r="H258" s="257">
        <v>86.8</v>
      </c>
      <c r="I258" s="257">
        <v>9.9</v>
      </c>
      <c r="J258" s="258">
        <v>0</v>
      </c>
    </row>
    <row r="259" spans="1:10" ht="13.5" thickBot="1" x14ac:dyDescent="0.35">
      <c r="A259" s="255" t="s">
        <v>447</v>
      </c>
      <c r="B259" s="256">
        <v>235</v>
      </c>
      <c r="C259" s="257">
        <v>602</v>
      </c>
      <c r="D259" s="257">
        <v>39</v>
      </c>
      <c r="E259" s="257">
        <v>44</v>
      </c>
      <c r="F259" s="257">
        <v>22.7</v>
      </c>
      <c r="G259" s="257">
        <v>0.30399999999999999</v>
      </c>
      <c r="H259" s="257">
        <v>90</v>
      </c>
      <c r="I259" s="257">
        <v>12.7</v>
      </c>
      <c r="J259" s="258">
        <v>0</v>
      </c>
    </row>
    <row r="260" spans="1:10" ht="13.5" thickBot="1" x14ac:dyDescent="0.35">
      <c r="A260" s="255" t="s">
        <v>449</v>
      </c>
      <c r="B260" s="256">
        <v>231</v>
      </c>
      <c r="C260" s="257">
        <v>1717</v>
      </c>
      <c r="D260" s="257">
        <v>13.5</v>
      </c>
      <c r="E260" s="257">
        <v>46</v>
      </c>
      <c r="F260" s="257">
        <v>17.5</v>
      </c>
      <c r="G260" s="257">
        <v>0.23300000000000001</v>
      </c>
      <c r="H260" s="257">
        <v>84.1</v>
      </c>
      <c r="I260" s="257">
        <v>9.4</v>
      </c>
      <c r="J260" s="258">
        <v>0</v>
      </c>
    </row>
    <row r="261" spans="1:10" ht="13.5" thickBot="1" x14ac:dyDescent="0.35">
      <c r="A261" s="255" t="s">
        <v>450</v>
      </c>
      <c r="B261" s="256">
        <v>229</v>
      </c>
      <c r="C261" s="257">
        <v>1187</v>
      </c>
      <c r="D261" s="257">
        <v>19.3</v>
      </c>
      <c r="E261" s="257">
        <v>42</v>
      </c>
      <c r="F261" s="257">
        <v>26.7</v>
      </c>
      <c r="G261" s="257">
        <v>0.27800000000000002</v>
      </c>
      <c r="H261" s="257">
        <v>90.9</v>
      </c>
      <c r="I261" s="257">
        <v>20.5</v>
      </c>
      <c r="J261" s="258">
        <v>0</v>
      </c>
    </row>
    <row r="262" spans="1:10" ht="13.5" thickBot="1" x14ac:dyDescent="0.35">
      <c r="A262" s="255" t="s">
        <v>451</v>
      </c>
      <c r="B262" s="256">
        <v>224</v>
      </c>
      <c r="C262" s="257">
        <v>2092</v>
      </c>
      <c r="D262" s="257">
        <v>10.7</v>
      </c>
      <c r="E262" s="257">
        <v>43</v>
      </c>
      <c r="F262" s="257">
        <v>18</v>
      </c>
      <c r="G262" s="257">
        <v>0.254</v>
      </c>
      <c r="H262" s="257">
        <v>89.1</v>
      </c>
      <c r="I262" s="257">
        <v>15.8</v>
      </c>
      <c r="J262" s="258">
        <v>0</v>
      </c>
    </row>
    <row r="263" spans="1:10" ht="13.5" thickBot="1" x14ac:dyDescent="0.35">
      <c r="A263" s="255" t="s">
        <v>171</v>
      </c>
      <c r="B263" s="256">
        <v>224</v>
      </c>
      <c r="C263" s="257">
        <v>2742</v>
      </c>
      <c r="D263" s="257">
        <v>8.1999999999999993</v>
      </c>
      <c r="E263" s="257">
        <v>42</v>
      </c>
      <c r="F263" s="257">
        <v>14</v>
      </c>
      <c r="G263" s="257">
        <v>0.23</v>
      </c>
      <c r="H263" s="257">
        <v>88.5</v>
      </c>
      <c r="I263" s="257">
        <v>27.4</v>
      </c>
      <c r="J263" s="258">
        <v>0</v>
      </c>
    </row>
    <row r="264" spans="1:10" ht="13.5" thickBot="1" x14ac:dyDescent="0.35">
      <c r="A264" s="255" t="s">
        <v>452</v>
      </c>
      <c r="B264" s="256">
        <v>217</v>
      </c>
      <c r="C264" s="257">
        <v>1486</v>
      </c>
      <c r="D264" s="257">
        <v>14.6</v>
      </c>
      <c r="E264" s="257">
        <v>33</v>
      </c>
      <c r="F264" s="257">
        <v>25</v>
      </c>
      <c r="G264" s="257">
        <v>0.28999999999999998</v>
      </c>
      <c r="H264" s="257">
        <v>89.4</v>
      </c>
      <c r="I264" s="257">
        <v>12.5</v>
      </c>
      <c r="J264" s="258">
        <v>0</v>
      </c>
    </row>
    <row r="265" spans="1:10" ht="13.5" thickBot="1" x14ac:dyDescent="0.35">
      <c r="A265" s="255" t="s">
        <v>453</v>
      </c>
      <c r="B265" s="256">
        <v>215</v>
      </c>
      <c r="C265" s="257">
        <v>1912</v>
      </c>
      <c r="D265" s="257">
        <v>11.2</v>
      </c>
      <c r="E265" s="257">
        <v>41</v>
      </c>
      <c r="F265" s="257">
        <v>11.1</v>
      </c>
      <c r="G265" s="257">
        <v>0.29099999999999998</v>
      </c>
      <c r="H265" s="257">
        <v>89.6</v>
      </c>
      <c r="I265" s="257">
        <v>9</v>
      </c>
      <c r="J265" s="258">
        <v>0</v>
      </c>
    </row>
    <row r="266" spans="1:10" ht="13.5" thickBot="1" x14ac:dyDescent="0.35">
      <c r="A266" s="255" t="s">
        <v>455</v>
      </c>
      <c r="B266" s="256">
        <v>206</v>
      </c>
      <c r="C266" s="257">
        <v>2082</v>
      </c>
      <c r="D266" s="257">
        <v>9.9</v>
      </c>
      <c r="E266" s="257">
        <v>35</v>
      </c>
      <c r="F266" s="257">
        <v>16.7</v>
      </c>
      <c r="G266" s="257">
        <v>0.23599999999999999</v>
      </c>
      <c r="H266" s="257">
        <v>91.3</v>
      </c>
      <c r="I266" s="257">
        <v>13.7</v>
      </c>
      <c r="J266" s="258">
        <v>0</v>
      </c>
    </row>
    <row r="267" spans="1:10" ht="13.5" thickBot="1" x14ac:dyDescent="0.35">
      <c r="A267" s="255" t="s">
        <v>454</v>
      </c>
      <c r="B267" s="256">
        <v>206</v>
      </c>
      <c r="C267" s="257">
        <v>1609</v>
      </c>
      <c r="D267" s="257">
        <v>12.8</v>
      </c>
      <c r="E267" s="257">
        <v>39</v>
      </c>
      <c r="F267" s="257">
        <v>29.3</v>
      </c>
      <c r="G267" s="257">
        <v>0.248</v>
      </c>
      <c r="H267" s="257">
        <v>91.3</v>
      </c>
      <c r="I267" s="257">
        <v>3.1</v>
      </c>
      <c r="J267" s="258">
        <v>0</v>
      </c>
    </row>
    <row r="268" spans="1:10" ht="13.5" thickBot="1" x14ac:dyDescent="0.35">
      <c r="A268" s="255" t="s">
        <v>354</v>
      </c>
      <c r="B268" s="256">
        <v>204</v>
      </c>
      <c r="C268" s="257">
        <v>1888</v>
      </c>
      <c r="D268" s="257">
        <v>10.8</v>
      </c>
      <c r="E268" s="257">
        <v>30</v>
      </c>
      <c r="F268" s="257">
        <v>23.5</v>
      </c>
      <c r="G268" s="257">
        <v>0.23</v>
      </c>
      <c r="H268" s="257">
        <v>84</v>
      </c>
      <c r="I268" s="257">
        <v>11.9</v>
      </c>
      <c r="J268" s="258">
        <v>0</v>
      </c>
    </row>
    <row r="269" spans="1:10" ht="13.5" thickBot="1" x14ac:dyDescent="0.35">
      <c r="A269" s="255" t="s">
        <v>456</v>
      </c>
      <c r="B269" s="256">
        <v>197</v>
      </c>
      <c r="C269" s="257">
        <v>2596</v>
      </c>
      <c r="D269" s="257">
        <v>7.6</v>
      </c>
      <c r="E269" s="257">
        <v>39</v>
      </c>
      <c r="F269" s="257">
        <v>12</v>
      </c>
      <c r="G269" s="257">
        <v>0.34</v>
      </c>
      <c r="H269" s="257">
        <v>87.8</v>
      </c>
      <c r="I269" s="257">
        <v>-0.2</v>
      </c>
      <c r="J269" s="258">
        <v>0</v>
      </c>
    </row>
    <row r="270" spans="1:10" ht="13.5" thickBot="1" x14ac:dyDescent="0.35">
      <c r="A270" s="255" t="s">
        <v>457</v>
      </c>
      <c r="B270" s="256">
        <v>196</v>
      </c>
      <c r="C270" s="257">
        <v>326</v>
      </c>
      <c r="D270" s="257">
        <v>60.1</v>
      </c>
      <c r="E270" s="257">
        <v>19</v>
      </c>
      <c r="F270" s="257">
        <v>41.9</v>
      </c>
      <c r="G270" s="257">
        <v>0.14399999999999999</v>
      </c>
      <c r="H270" s="257">
        <v>94</v>
      </c>
      <c r="I270" s="257">
        <v>22.4</v>
      </c>
      <c r="J270" s="258">
        <v>0</v>
      </c>
    </row>
    <row r="271" spans="1:10" ht="13.5" thickBot="1" x14ac:dyDescent="0.35">
      <c r="A271" s="255" t="s">
        <v>458</v>
      </c>
      <c r="B271" s="256">
        <v>196</v>
      </c>
      <c r="C271" s="257">
        <v>1514</v>
      </c>
      <c r="D271" s="257">
        <v>12.9</v>
      </c>
      <c r="E271" s="257">
        <v>36</v>
      </c>
      <c r="F271" s="257">
        <v>24.1</v>
      </c>
      <c r="G271" s="257">
        <v>0.20599999999999999</v>
      </c>
      <c r="H271" s="257">
        <v>89.9</v>
      </c>
      <c r="I271" s="257">
        <v>14.4</v>
      </c>
      <c r="J271" s="258">
        <v>0</v>
      </c>
    </row>
    <row r="272" spans="1:10" ht="13.5" thickBot="1" x14ac:dyDescent="0.35">
      <c r="A272" s="255" t="s">
        <v>164</v>
      </c>
      <c r="B272" s="256">
        <v>188</v>
      </c>
      <c r="C272" s="257">
        <v>2159</v>
      </c>
      <c r="D272" s="257">
        <v>8.6999999999999993</v>
      </c>
      <c r="E272" s="257">
        <v>34</v>
      </c>
      <c r="F272" s="257">
        <v>18.8</v>
      </c>
      <c r="G272" s="257">
        <v>0.254</v>
      </c>
      <c r="H272" s="257">
        <v>92.1</v>
      </c>
      <c r="I272" s="257">
        <v>9.5</v>
      </c>
      <c r="J272" s="258">
        <v>0</v>
      </c>
    </row>
    <row r="273" spans="1:10" ht="13.5" thickBot="1" x14ac:dyDescent="0.35">
      <c r="A273" s="255" t="s">
        <v>459</v>
      </c>
      <c r="B273" s="256">
        <v>187</v>
      </c>
      <c r="C273" s="257">
        <v>354</v>
      </c>
      <c r="D273" s="257">
        <v>52.8</v>
      </c>
      <c r="E273" s="257">
        <v>33</v>
      </c>
      <c r="F273" s="257">
        <v>19.100000000000001</v>
      </c>
      <c r="G273" s="257">
        <v>0.24099999999999999</v>
      </c>
      <c r="H273" s="257">
        <v>87.9</v>
      </c>
      <c r="I273" s="257">
        <v>12.2</v>
      </c>
      <c r="J273" s="258">
        <v>0</v>
      </c>
    </row>
    <row r="274" spans="1:10" ht="13.5" thickBot="1" x14ac:dyDescent="0.35">
      <c r="A274" s="255" t="s">
        <v>460</v>
      </c>
      <c r="B274" s="256">
        <v>187</v>
      </c>
      <c r="C274" s="257">
        <v>1812</v>
      </c>
      <c r="D274" s="257">
        <v>10.3</v>
      </c>
      <c r="E274" s="257">
        <v>32</v>
      </c>
      <c r="F274" s="257">
        <v>25</v>
      </c>
      <c r="G274" s="257">
        <v>0.28299999999999997</v>
      </c>
      <c r="H274" s="257">
        <v>92.9</v>
      </c>
      <c r="I274" s="257">
        <v>18.3</v>
      </c>
      <c r="J274" s="258">
        <v>0</v>
      </c>
    </row>
    <row r="275" spans="1:10" ht="13.5" thickBot="1" x14ac:dyDescent="0.35">
      <c r="A275" s="255" t="s">
        <v>461</v>
      </c>
      <c r="B275" s="256">
        <v>183</v>
      </c>
      <c r="C275" s="257">
        <v>1387</v>
      </c>
      <c r="D275" s="257">
        <v>13.2</v>
      </c>
      <c r="E275" s="257">
        <v>32</v>
      </c>
      <c r="F275" s="257">
        <v>18.600000000000001</v>
      </c>
      <c r="G275" s="257">
        <v>0.317</v>
      </c>
      <c r="H275" s="257">
        <v>95.2</v>
      </c>
      <c r="I275" s="257">
        <v>7.5</v>
      </c>
      <c r="J275" s="258">
        <v>0</v>
      </c>
    </row>
    <row r="276" spans="1:10" ht="13.5" thickBot="1" x14ac:dyDescent="0.35">
      <c r="A276" s="255" t="s">
        <v>229</v>
      </c>
      <c r="B276" s="256">
        <v>175</v>
      </c>
      <c r="C276" s="257">
        <v>2089</v>
      </c>
      <c r="D276" s="257">
        <v>8.4</v>
      </c>
      <c r="E276" s="257">
        <v>32</v>
      </c>
      <c r="F276" s="257">
        <v>20.9</v>
      </c>
      <c r="G276" s="257">
        <v>0.247</v>
      </c>
      <c r="H276" s="257">
        <v>85.2</v>
      </c>
      <c r="I276" s="257">
        <v>21</v>
      </c>
      <c r="J276" s="258">
        <v>0</v>
      </c>
    </row>
    <row r="277" spans="1:10" ht="13.5" thickBot="1" x14ac:dyDescent="0.35">
      <c r="A277" s="255" t="s">
        <v>464</v>
      </c>
      <c r="B277" s="256">
        <v>170</v>
      </c>
      <c r="C277" s="257">
        <v>583</v>
      </c>
      <c r="D277" s="257">
        <v>29.2</v>
      </c>
      <c r="E277" s="257">
        <v>26</v>
      </c>
      <c r="F277" s="257">
        <v>30.2</v>
      </c>
      <c r="G277" s="257">
        <v>0.22500000000000001</v>
      </c>
      <c r="H277" s="257">
        <v>88.4</v>
      </c>
      <c r="I277" s="257">
        <v>16.3</v>
      </c>
      <c r="J277" s="258">
        <v>0</v>
      </c>
    </row>
    <row r="278" spans="1:10" ht="13.5" thickBot="1" x14ac:dyDescent="0.35">
      <c r="A278" s="255" t="s">
        <v>462</v>
      </c>
      <c r="B278" s="256">
        <v>170</v>
      </c>
      <c r="C278" s="257">
        <v>2730</v>
      </c>
      <c r="D278" s="257">
        <v>6.2</v>
      </c>
      <c r="E278" s="257">
        <v>24</v>
      </c>
      <c r="F278" s="257">
        <v>27.8</v>
      </c>
      <c r="G278" s="257">
        <v>0.19800000000000001</v>
      </c>
      <c r="H278" s="257">
        <v>90.6</v>
      </c>
      <c r="I278" s="257">
        <v>8.3000000000000007</v>
      </c>
      <c r="J278" s="258">
        <v>0</v>
      </c>
    </row>
    <row r="279" spans="1:10" ht="13.5" thickBot="1" x14ac:dyDescent="0.35">
      <c r="A279" s="255" t="s">
        <v>463</v>
      </c>
      <c r="B279" s="256">
        <v>170</v>
      </c>
      <c r="C279" s="257">
        <v>796</v>
      </c>
      <c r="D279" s="257">
        <v>21.4</v>
      </c>
      <c r="E279" s="257">
        <v>34</v>
      </c>
      <c r="F279" s="257">
        <v>20.5</v>
      </c>
      <c r="G279" s="257">
        <v>0.27100000000000002</v>
      </c>
      <c r="H279" s="257">
        <v>86.5</v>
      </c>
      <c r="I279" s="257">
        <v>15.9</v>
      </c>
      <c r="J279" s="258">
        <v>0</v>
      </c>
    </row>
    <row r="280" spans="1:10" ht="13.5" thickBot="1" x14ac:dyDescent="0.35">
      <c r="A280" s="255" t="s">
        <v>465</v>
      </c>
      <c r="B280" s="256">
        <v>164</v>
      </c>
      <c r="C280" s="257">
        <v>1524</v>
      </c>
      <c r="D280" s="257">
        <v>10.8</v>
      </c>
      <c r="E280" s="257">
        <v>32</v>
      </c>
      <c r="F280" s="257">
        <v>22.2</v>
      </c>
      <c r="G280" s="257">
        <v>0.20399999999999999</v>
      </c>
      <c r="H280" s="257">
        <v>87.9</v>
      </c>
      <c r="I280" s="257">
        <v>12.2</v>
      </c>
      <c r="J280" s="258">
        <v>0</v>
      </c>
    </row>
    <row r="281" spans="1:10" ht="13.5" thickBot="1" x14ac:dyDescent="0.35">
      <c r="A281" s="255" t="s">
        <v>467</v>
      </c>
      <c r="B281" s="256">
        <v>163</v>
      </c>
      <c r="C281" s="257">
        <v>2087</v>
      </c>
      <c r="D281" s="257">
        <v>7.8</v>
      </c>
      <c r="E281" s="257">
        <v>31</v>
      </c>
      <c r="F281" s="257">
        <v>11.1</v>
      </c>
      <c r="G281" s="257">
        <v>0.27700000000000002</v>
      </c>
      <c r="H281" s="257">
        <v>92.3</v>
      </c>
      <c r="I281" s="257">
        <v>14.7</v>
      </c>
      <c r="J281" s="258">
        <v>0</v>
      </c>
    </row>
    <row r="282" spans="1:10" ht="13.5" thickBot="1" x14ac:dyDescent="0.35">
      <c r="A282" s="255" t="s">
        <v>466</v>
      </c>
      <c r="B282" s="256">
        <v>163</v>
      </c>
      <c r="C282" s="257">
        <v>229</v>
      </c>
      <c r="D282" s="257">
        <v>71.2</v>
      </c>
      <c r="E282" s="257">
        <v>17</v>
      </c>
      <c r="F282" s="257">
        <v>42.5</v>
      </c>
      <c r="G282" s="257">
        <v>0.14299999999999999</v>
      </c>
      <c r="H282" s="257">
        <v>85.7</v>
      </c>
      <c r="I282" s="257">
        <v>25.1</v>
      </c>
      <c r="J282" s="258">
        <v>0</v>
      </c>
    </row>
    <row r="283" spans="1:10" ht="13.5" thickBot="1" x14ac:dyDescent="0.35">
      <c r="A283" s="255" t="s">
        <v>468</v>
      </c>
      <c r="B283" s="256">
        <v>162</v>
      </c>
      <c r="C283" s="257">
        <v>394</v>
      </c>
      <c r="D283" s="257">
        <v>41.1</v>
      </c>
      <c r="E283" s="257">
        <v>21</v>
      </c>
      <c r="F283" s="257">
        <v>36.1</v>
      </c>
      <c r="G283" s="257">
        <v>0.23499999999999999</v>
      </c>
      <c r="H283" s="257">
        <v>85.7</v>
      </c>
      <c r="I283" s="257">
        <v>14.7</v>
      </c>
      <c r="J283" s="258">
        <v>0</v>
      </c>
    </row>
    <row r="284" spans="1:10" ht="13.5" thickBot="1" x14ac:dyDescent="0.35">
      <c r="A284" s="255" t="s">
        <v>469</v>
      </c>
      <c r="B284" s="256">
        <v>160</v>
      </c>
      <c r="C284" s="257">
        <v>2084</v>
      </c>
      <c r="D284" s="257">
        <v>7.7</v>
      </c>
      <c r="E284" s="257">
        <v>28</v>
      </c>
      <c r="F284" s="257">
        <v>28.3</v>
      </c>
      <c r="G284" s="257">
        <v>0.218</v>
      </c>
      <c r="H284" s="257">
        <v>90.8</v>
      </c>
      <c r="I284" s="257">
        <v>20</v>
      </c>
      <c r="J284" s="258">
        <v>0</v>
      </c>
    </row>
    <row r="285" spans="1:10" ht="13.5" thickBot="1" x14ac:dyDescent="0.35">
      <c r="A285" s="255" t="s">
        <v>470</v>
      </c>
      <c r="B285" s="256">
        <v>159</v>
      </c>
      <c r="C285" s="257">
        <v>1349</v>
      </c>
      <c r="D285" s="257">
        <v>11.8</v>
      </c>
      <c r="E285" s="257">
        <v>42</v>
      </c>
      <c r="F285" s="257">
        <v>10.199999999999999</v>
      </c>
      <c r="G285" s="257">
        <v>0.249</v>
      </c>
      <c r="H285" s="257">
        <v>90.4</v>
      </c>
      <c r="I285" s="257">
        <v>9.9</v>
      </c>
      <c r="J285" s="258">
        <v>0</v>
      </c>
    </row>
    <row r="286" spans="1:10" ht="13.5" thickBot="1" x14ac:dyDescent="0.35">
      <c r="A286" s="255" t="s">
        <v>115</v>
      </c>
      <c r="B286" s="256">
        <v>158</v>
      </c>
      <c r="C286" s="257">
        <v>2066</v>
      </c>
      <c r="D286" s="257">
        <v>7.6</v>
      </c>
      <c r="E286" s="257">
        <v>30</v>
      </c>
      <c r="F286" s="257">
        <v>5.0999999999999996</v>
      </c>
      <c r="G286" s="257">
        <v>0.309</v>
      </c>
      <c r="H286" s="257">
        <v>93.4</v>
      </c>
      <c r="I286" s="257">
        <v>10</v>
      </c>
      <c r="J286" s="258">
        <v>0</v>
      </c>
    </row>
    <row r="287" spans="1:10" ht="13.5" thickBot="1" x14ac:dyDescent="0.35">
      <c r="A287" s="255" t="s">
        <v>471</v>
      </c>
      <c r="B287" s="256">
        <v>158</v>
      </c>
      <c r="C287" s="257">
        <v>1474</v>
      </c>
      <c r="D287" s="257">
        <v>10.7</v>
      </c>
      <c r="E287" s="257">
        <v>27</v>
      </c>
      <c r="F287" s="257">
        <v>18.399999999999999</v>
      </c>
      <c r="G287" s="257">
        <v>0.27900000000000003</v>
      </c>
      <c r="H287" s="257">
        <v>90.5</v>
      </c>
      <c r="I287" s="257">
        <v>12.7</v>
      </c>
      <c r="J287" s="258">
        <v>0</v>
      </c>
    </row>
    <row r="288" spans="1:10" ht="13.5" thickBot="1" x14ac:dyDescent="0.35">
      <c r="A288" s="255" t="s">
        <v>472</v>
      </c>
      <c r="B288" s="256">
        <v>158</v>
      </c>
      <c r="C288" s="257">
        <v>1138</v>
      </c>
      <c r="D288" s="257">
        <v>13.9</v>
      </c>
      <c r="E288" s="257">
        <v>32</v>
      </c>
      <c r="F288" s="257">
        <v>18.600000000000001</v>
      </c>
      <c r="G288" s="257">
        <v>0.21</v>
      </c>
      <c r="H288" s="257">
        <v>87.3</v>
      </c>
      <c r="I288" s="257">
        <v>7.4</v>
      </c>
      <c r="J288" s="258">
        <v>0</v>
      </c>
    </row>
    <row r="289" spans="1:10" ht="13.5" thickBot="1" x14ac:dyDescent="0.35">
      <c r="A289" s="255" t="s">
        <v>473</v>
      </c>
      <c r="B289" s="256">
        <v>155</v>
      </c>
      <c r="C289" s="257">
        <v>1825</v>
      </c>
      <c r="D289" s="257">
        <v>8.5</v>
      </c>
      <c r="E289" s="257">
        <v>29</v>
      </c>
      <c r="F289" s="257">
        <v>15.8</v>
      </c>
      <c r="G289" s="257">
        <v>0.2</v>
      </c>
      <c r="H289" s="257">
        <v>88.9</v>
      </c>
      <c r="I289" s="257">
        <v>19.8</v>
      </c>
      <c r="J289" s="258">
        <v>0</v>
      </c>
    </row>
    <row r="290" spans="1:10" ht="13.5" thickBot="1" x14ac:dyDescent="0.35">
      <c r="A290" s="255" t="s">
        <v>224</v>
      </c>
      <c r="B290" s="256">
        <v>149</v>
      </c>
      <c r="C290" s="257">
        <v>1027</v>
      </c>
      <c r="D290" s="257">
        <v>14.5</v>
      </c>
      <c r="E290" s="257">
        <v>41</v>
      </c>
      <c r="F290" s="257">
        <v>4.4000000000000004</v>
      </c>
      <c r="G290" s="257">
        <v>0.26200000000000001</v>
      </c>
      <c r="H290" s="257">
        <v>86.2</v>
      </c>
      <c r="I290" s="257">
        <v>23.6</v>
      </c>
      <c r="J290" s="258">
        <v>0</v>
      </c>
    </row>
    <row r="291" spans="1:10" ht="13.5" thickBot="1" x14ac:dyDescent="0.35">
      <c r="A291" s="255" t="s">
        <v>474</v>
      </c>
      <c r="B291" s="256">
        <v>148</v>
      </c>
      <c r="C291" s="257">
        <v>2419</v>
      </c>
      <c r="D291" s="257">
        <v>6.1</v>
      </c>
      <c r="E291" s="257">
        <v>26</v>
      </c>
      <c r="F291" s="257">
        <v>21.6</v>
      </c>
      <c r="G291" s="257">
        <v>0.26400000000000001</v>
      </c>
      <c r="H291" s="257">
        <v>87.9</v>
      </c>
      <c r="I291" s="257">
        <v>19.600000000000001</v>
      </c>
      <c r="J291" s="258">
        <v>0</v>
      </c>
    </row>
    <row r="292" spans="1:10" ht="13.5" thickBot="1" x14ac:dyDescent="0.35">
      <c r="A292" s="255" t="s">
        <v>135</v>
      </c>
      <c r="B292" s="256">
        <v>148</v>
      </c>
      <c r="C292" s="257">
        <v>2505</v>
      </c>
      <c r="D292" s="257">
        <v>5.9</v>
      </c>
      <c r="E292" s="257">
        <v>32</v>
      </c>
      <c r="F292" s="257">
        <v>12.5</v>
      </c>
      <c r="G292" s="257">
        <v>0.27100000000000002</v>
      </c>
      <c r="H292" s="257">
        <v>90.9</v>
      </c>
      <c r="I292" s="257">
        <v>18.7</v>
      </c>
      <c r="J292" s="258">
        <v>0</v>
      </c>
    </row>
    <row r="293" spans="1:10" ht="13.5" thickBot="1" x14ac:dyDescent="0.35">
      <c r="A293" s="255" t="s">
        <v>475</v>
      </c>
      <c r="B293" s="256">
        <v>146</v>
      </c>
      <c r="C293" s="257">
        <v>1178</v>
      </c>
      <c r="D293" s="257">
        <v>12.4</v>
      </c>
      <c r="E293" s="257">
        <v>26</v>
      </c>
      <c r="F293" s="257">
        <v>21.6</v>
      </c>
      <c r="G293" s="257">
        <v>0.248</v>
      </c>
      <c r="H293" s="257">
        <v>88.7</v>
      </c>
      <c r="I293" s="257">
        <v>18.7</v>
      </c>
      <c r="J293" s="258">
        <v>0</v>
      </c>
    </row>
    <row r="294" spans="1:10" ht="13.5" thickBot="1" x14ac:dyDescent="0.35">
      <c r="A294" s="255" t="s">
        <v>476</v>
      </c>
      <c r="B294" s="256">
        <v>143</v>
      </c>
      <c r="C294" s="257">
        <v>986</v>
      </c>
      <c r="D294" s="257">
        <v>14.5</v>
      </c>
      <c r="E294" s="257">
        <v>30</v>
      </c>
      <c r="F294" s="257">
        <v>14.3</v>
      </c>
      <c r="G294" s="257">
        <v>0.22900000000000001</v>
      </c>
      <c r="H294" s="257">
        <v>85</v>
      </c>
      <c r="I294" s="257">
        <v>16.600000000000001</v>
      </c>
      <c r="J294" s="258">
        <v>0</v>
      </c>
    </row>
    <row r="295" spans="1:10" ht="13.5" thickBot="1" x14ac:dyDescent="0.35">
      <c r="A295" s="255" t="s">
        <v>478</v>
      </c>
      <c r="B295" s="256">
        <v>137</v>
      </c>
      <c r="C295" s="257">
        <v>1106</v>
      </c>
      <c r="D295" s="257">
        <v>12.4</v>
      </c>
      <c r="E295" s="257">
        <v>31</v>
      </c>
      <c r="F295" s="257">
        <v>12.8</v>
      </c>
      <c r="G295" s="257">
        <v>0.27200000000000002</v>
      </c>
      <c r="H295" s="257">
        <v>90</v>
      </c>
      <c r="I295" s="257">
        <v>6.7</v>
      </c>
      <c r="J295" s="258">
        <v>0</v>
      </c>
    </row>
    <row r="296" spans="1:10" ht="13.5" thickBot="1" x14ac:dyDescent="0.35">
      <c r="A296" s="255" t="s">
        <v>481</v>
      </c>
      <c r="B296" s="256">
        <v>129</v>
      </c>
      <c r="C296" s="257">
        <v>1789</v>
      </c>
      <c r="D296" s="257">
        <v>7.2</v>
      </c>
      <c r="E296" s="257">
        <v>21</v>
      </c>
      <c r="F296" s="257">
        <v>29.7</v>
      </c>
      <c r="G296" s="257">
        <v>0.14299999999999999</v>
      </c>
      <c r="H296" s="257">
        <v>84.5</v>
      </c>
      <c r="I296" s="257">
        <v>12.3</v>
      </c>
      <c r="J296" s="258">
        <v>0</v>
      </c>
    </row>
    <row r="297" spans="1:10" ht="13.5" thickBot="1" x14ac:dyDescent="0.35">
      <c r="A297" s="255" t="s">
        <v>482</v>
      </c>
      <c r="B297" s="256">
        <v>124</v>
      </c>
      <c r="C297" s="257">
        <v>2144</v>
      </c>
      <c r="D297" s="257">
        <v>5.8</v>
      </c>
      <c r="E297" s="257">
        <v>23</v>
      </c>
      <c r="F297" s="257">
        <v>12.5</v>
      </c>
      <c r="G297" s="257">
        <v>0.23200000000000001</v>
      </c>
      <c r="H297" s="257">
        <v>89.8</v>
      </c>
      <c r="I297" s="257">
        <v>21.9</v>
      </c>
      <c r="J297" s="258">
        <v>0</v>
      </c>
    </row>
    <row r="298" spans="1:10" ht="13.5" thickBot="1" x14ac:dyDescent="0.35">
      <c r="A298" s="255" t="s">
        <v>483</v>
      </c>
      <c r="B298" s="256">
        <v>123</v>
      </c>
      <c r="C298" s="257">
        <v>501</v>
      </c>
      <c r="D298" s="257">
        <v>24.6</v>
      </c>
      <c r="E298" s="257">
        <v>19</v>
      </c>
      <c r="F298" s="257">
        <v>25.8</v>
      </c>
      <c r="G298" s="257">
        <v>0.22</v>
      </c>
      <c r="H298" s="257">
        <v>85.2</v>
      </c>
      <c r="I298" s="257">
        <v>7.7</v>
      </c>
      <c r="J298" s="258">
        <v>0</v>
      </c>
    </row>
    <row r="299" spans="1:10" ht="13.5" thickBot="1" x14ac:dyDescent="0.35">
      <c r="A299" s="255" t="s">
        <v>487</v>
      </c>
      <c r="B299" s="256">
        <v>116</v>
      </c>
      <c r="C299" s="257">
        <v>730</v>
      </c>
      <c r="D299" s="257">
        <v>15.9</v>
      </c>
      <c r="E299" s="257">
        <v>23</v>
      </c>
      <c r="F299" s="257">
        <v>18.8</v>
      </c>
      <c r="G299" s="257">
        <v>0.251</v>
      </c>
      <c r="H299" s="257">
        <v>87.3</v>
      </c>
      <c r="I299" s="257">
        <v>23.8</v>
      </c>
      <c r="J299" s="258">
        <v>0</v>
      </c>
    </row>
    <row r="300" spans="1:10" ht="13.5" thickBot="1" x14ac:dyDescent="0.35">
      <c r="A300" s="255" t="s">
        <v>488</v>
      </c>
      <c r="B300" s="256">
        <v>113</v>
      </c>
      <c r="C300" s="257">
        <v>597</v>
      </c>
      <c r="D300" s="257">
        <v>18.899999999999999</v>
      </c>
      <c r="E300" s="257">
        <v>28</v>
      </c>
      <c r="F300" s="257">
        <v>22.2</v>
      </c>
      <c r="G300" s="257">
        <v>0.22600000000000001</v>
      </c>
      <c r="H300" s="257">
        <v>88.3</v>
      </c>
      <c r="I300" s="257">
        <v>25.4</v>
      </c>
      <c r="J300" s="258">
        <v>0</v>
      </c>
    </row>
    <row r="301" spans="1:10" ht="13.5" thickBot="1" x14ac:dyDescent="0.35">
      <c r="A301" s="255" t="s">
        <v>494</v>
      </c>
      <c r="B301" s="256">
        <v>106</v>
      </c>
      <c r="C301" s="257">
        <v>1861</v>
      </c>
      <c r="D301" s="257">
        <v>5.7</v>
      </c>
      <c r="E301" s="257">
        <v>16</v>
      </c>
      <c r="F301" s="257">
        <v>32.299999999999997</v>
      </c>
      <c r="G301" s="257">
        <v>0.249</v>
      </c>
      <c r="H301" s="257">
        <v>90.4</v>
      </c>
      <c r="I301" s="257">
        <v>10.8</v>
      </c>
      <c r="J301" s="258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7AC2-D45A-44CC-8058-07629D443AC3}">
  <dimension ref="A1:B8"/>
  <sheetViews>
    <sheetView workbookViewId="0">
      <selection activeCell="B1" sqref="B1"/>
    </sheetView>
  </sheetViews>
  <sheetFormatPr defaultRowHeight="14.5" x14ac:dyDescent="0.35"/>
  <cols>
    <col min="1" max="1" width="20.6328125" bestFit="1" customWidth="1"/>
    <col min="2" max="2" width="14.26953125" bestFit="1" customWidth="1"/>
  </cols>
  <sheetData>
    <row r="1" spans="1:2" x14ac:dyDescent="0.35">
      <c r="A1" t="s">
        <v>337</v>
      </c>
      <c r="B1" t="s">
        <v>338</v>
      </c>
    </row>
    <row r="2" spans="1:2" x14ac:dyDescent="0.35">
      <c r="A2">
        <v>2016</v>
      </c>
      <c r="B2">
        <v>13.7</v>
      </c>
    </row>
    <row r="3" spans="1:2" x14ac:dyDescent="0.35">
      <c r="A3">
        <v>2017</v>
      </c>
      <c r="B3">
        <v>12.1</v>
      </c>
    </row>
    <row r="4" spans="1:2" x14ac:dyDescent="0.35">
      <c r="A4">
        <v>2018</v>
      </c>
      <c r="B4">
        <v>17.399999999999999</v>
      </c>
    </row>
    <row r="5" spans="1:2" x14ac:dyDescent="0.35">
      <c r="A5">
        <v>2019</v>
      </c>
      <c r="B5">
        <v>25.6</v>
      </c>
    </row>
    <row r="6" spans="1:2" x14ac:dyDescent="0.35">
      <c r="A6">
        <v>2020</v>
      </c>
      <c r="B6">
        <v>34.1</v>
      </c>
    </row>
    <row r="7" spans="1:2" x14ac:dyDescent="0.35">
      <c r="A7">
        <v>2021</v>
      </c>
      <c r="B7">
        <v>30.8</v>
      </c>
    </row>
    <row r="8" spans="1:2" x14ac:dyDescent="0.35">
      <c r="A8">
        <v>2022</v>
      </c>
      <c r="B8">
        <v>33.6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FCA1-F581-4887-B6FD-6358588C62A7}">
  <dimension ref="A1:E51"/>
  <sheetViews>
    <sheetView workbookViewId="0">
      <selection activeCell="D2" sqref="D2"/>
    </sheetView>
  </sheetViews>
  <sheetFormatPr defaultRowHeight="14.5" x14ac:dyDescent="0.35"/>
  <cols>
    <col min="1" max="1" width="16.54296875" bestFit="1" customWidth="1"/>
    <col min="3" max="3" width="5" bestFit="1" customWidth="1"/>
    <col min="4" max="4" width="6.81640625" style="1" bestFit="1" customWidth="1"/>
  </cols>
  <sheetData>
    <row r="1" spans="1:5" x14ac:dyDescent="0.35">
      <c r="A1" s="224" t="s">
        <v>102</v>
      </c>
      <c r="B1" s="224" t="s">
        <v>103</v>
      </c>
      <c r="C1" s="224" t="s">
        <v>104</v>
      </c>
      <c r="D1" s="226" t="s">
        <v>72</v>
      </c>
      <c r="E1" s="220"/>
    </row>
    <row r="2" spans="1:5" ht="15" thickBot="1" x14ac:dyDescent="0.4">
      <c r="A2" s="2" t="s">
        <v>121</v>
      </c>
      <c r="B2" s="3">
        <v>2554</v>
      </c>
      <c r="C2" s="3">
        <v>2878</v>
      </c>
      <c r="D2" s="225">
        <v>88.7</v>
      </c>
      <c r="E2" s="221"/>
    </row>
    <row r="3" spans="1:5" ht="15" thickBot="1" x14ac:dyDescent="0.4">
      <c r="A3" s="2" t="s">
        <v>137</v>
      </c>
      <c r="B3" s="3">
        <v>2384</v>
      </c>
      <c r="C3" s="3">
        <v>2893</v>
      </c>
      <c r="D3" s="225">
        <v>82.4</v>
      </c>
      <c r="E3" s="221"/>
    </row>
    <row r="4" spans="1:5" ht="15" thickBot="1" x14ac:dyDescent="0.4">
      <c r="A4" s="2" t="s">
        <v>166</v>
      </c>
      <c r="B4" s="3">
        <v>2240</v>
      </c>
      <c r="C4" s="3">
        <v>2546</v>
      </c>
      <c r="D4" s="225">
        <v>88</v>
      </c>
      <c r="E4" s="221"/>
    </row>
    <row r="5" spans="1:5" ht="15" thickBot="1" x14ac:dyDescent="0.4">
      <c r="A5" s="2" t="s">
        <v>131</v>
      </c>
      <c r="B5" s="3">
        <v>2156</v>
      </c>
      <c r="C5" s="3">
        <v>2436</v>
      </c>
      <c r="D5" s="225">
        <v>88.5</v>
      </c>
      <c r="E5" s="221"/>
    </row>
    <row r="6" spans="1:5" ht="15" thickBot="1" x14ac:dyDescent="0.4">
      <c r="A6" s="2" t="s">
        <v>171</v>
      </c>
      <c r="B6" s="3">
        <v>2143</v>
      </c>
      <c r="C6" s="3">
        <v>2742</v>
      </c>
      <c r="D6" s="225">
        <v>78.2</v>
      </c>
      <c r="E6" s="221"/>
    </row>
    <row r="7" spans="1:5" ht="15" thickBot="1" x14ac:dyDescent="0.4">
      <c r="A7" s="2" t="s">
        <v>206</v>
      </c>
      <c r="B7" s="3">
        <v>2117</v>
      </c>
      <c r="C7" s="3">
        <v>2776</v>
      </c>
      <c r="D7" s="225">
        <v>76.3</v>
      </c>
      <c r="E7" s="221"/>
    </row>
    <row r="8" spans="1:5" ht="15" thickBot="1" x14ac:dyDescent="0.4">
      <c r="A8" s="2" t="s">
        <v>116</v>
      </c>
      <c r="B8" s="3">
        <v>2117</v>
      </c>
      <c r="C8" s="3">
        <v>2268</v>
      </c>
      <c r="D8" s="225">
        <v>93.3</v>
      </c>
      <c r="E8" s="221"/>
    </row>
    <row r="9" spans="1:5" ht="15" thickBot="1" x14ac:dyDescent="0.4">
      <c r="A9" s="2" t="s">
        <v>202</v>
      </c>
      <c r="B9" s="3">
        <v>2091</v>
      </c>
      <c r="C9" s="3">
        <v>2617</v>
      </c>
      <c r="D9" s="225">
        <v>79.900000000000006</v>
      </c>
      <c r="E9" s="221"/>
    </row>
    <row r="10" spans="1:5" ht="15" thickBot="1" x14ac:dyDescent="0.4">
      <c r="A10" s="2" t="s">
        <v>156</v>
      </c>
      <c r="B10" s="3">
        <v>2086</v>
      </c>
      <c r="C10" s="3">
        <v>2301</v>
      </c>
      <c r="D10" s="225">
        <v>90.7</v>
      </c>
      <c r="E10" s="221"/>
    </row>
    <row r="11" spans="1:5" ht="15" thickBot="1" x14ac:dyDescent="0.4">
      <c r="A11" s="2" t="s">
        <v>143</v>
      </c>
      <c r="B11" s="3">
        <v>2065</v>
      </c>
      <c r="C11" s="3">
        <v>2262</v>
      </c>
      <c r="D11" s="225">
        <v>91.3</v>
      </c>
      <c r="E11" s="221"/>
    </row>
    <row r="12" spans="1:5" ht="15" thickBot="1" x14ac:dyDescent="0.4">
      <c r="A12" s="2" t="s">
        <v>213</v>
      </c>
      <c r="B12" s="3">
        <v>1979</v>
      </c>
      <c r="C12" s="3">
        <v>2897</v>
      </c>
      <c r="D12" s="225">
        <v>68.3</v>
      </c>
      <c r="E12" s="221"/>
    </row>
    <row r="13" spans="1:5" ht="15" thickBot="1" x14ac:dyDescent="0.4">
      <c r="A13" s="2" t="s">
        <v>114</v>
      </c>
      <c r="B13" s="3">
        <v>1956</v>
      </c>
      <c r="C13" s="3">
        <v>2195</v>
      </c>
      <c r="D13" s="225">
        <v>89.1</v>
      </c>
      <c r="E13" s="221"/>
    </row>
    <row r="14" spans="1:5" ht="15" thickBot="1" x14ac:dyDescent="0.4">
      <c r="A14" s="2" t="s">
        <v>144</v>
      </c>
      <c r="B14" s="3">
        <v>1914</v>
      </c>
      <c r="C14" s="3">
        <v>2392</v>
      </c>
      <c r="D14" s="225">
        <v>80</v>
      </c>
      <c r="E14" s="221"/>
    </row>
    <row r="15" spans="1:5" ht="15" thickBot="1" x14ac:dyDescent="0.4">
      <c r="A15" s="2" t="s">
        <v>138</v>
      </c>
      <c r="B15" s="3">
        <v>1894</v>
      </c>
      <c r="C15" s="3">
        <v>2198</v>
      </c>
      <c r="D15" s="225">
        <v>86.2</v>
      </c>
      <c r="E15" s="221"/>
    </row>
    <row r="16" spans="1:5" ht="15" thickBot="1" x14ac:dyDescent="0.4">
      <c r="A16" s="2" t="s">
        <v>155</v>
      </c>
      <c r="B16" s="3">
        <v>1851</v>
      </c>
      <c r="C16" s="3">
        <v>2349</v>
      </c>
      <c r="D16" s="225">
        <v>78.8</v>
      </c>
      <c r="E16" s="221"/>
    </row>
    <row r="17" spans="1:5" ht="15" thickBot="1" x14ac:dyDescent="0.4">
      <c r="A17" s="2" t="s">
        <v>124</v>
      </c>
      <c r="B17" s="3">
        <v>1759</v>
      </c>
      <c r="C17" s="3">
        <v>2112</v>
      </c>
      <c r="D17" s="225">
        <v>83.3</v>
      </c>
      <c r="E17" s="221"/>
    </row>
    <row r="18" spans="1:5" ht="15" thickBot="1" x14ac:dyDescent="0.4">
      <c r="A18" s="2" t="s">
        <v>153</v>
      </c>
      <c r="B18" s="3">
        <v>1750</v>
      </c>
      <c r="C18" s="3">
        <v>2196</v>
      </c>
      <c r="D18" s="225">
        <v>79.7</v>
      </c>
      <c r="E18" s="221"/>
    </row>
    <row r="19" spans="1:5" ht="15" thickBot="1" x14ac:dyDescent="0.4">
      <c r="A19" s="2" t="s">
        <v>211</v>
      </c>
      <c r="B19" s="3">
        <v>1716</v>
      </c>
      <c r="C19" s="3">
        <v>2248</v>
      </c>
      <c r="D19" s="225">
        <v>76.3</v>
      </c>
      <c r="E19" s="221"/>
    </row>
    <row r="20" spans="1:5" ht="15" thickBot="1" x14ac:dyDescent="0.4">
      <c r="A20" s="2" t="s">
        <v>152</v>
      </c>
      <c r="B20" s="3">
        <v>1682</v>
      </c>
      <c r="C20" s="3">
        <v>2229</v>
      </c>
      <c r="D20" s="225">
        <v>75.5</v>
      </c>
      <c r="E20" s="221"/>
    </row>
    <row r="21" spans="1:5" ht="15" thickBot="1" x14ac:dyDescent="0.4">
      <c r="A21" s="2" t="s">
        <v>163</v>
      </c>
      <c r="B21" s="3">
        <v>1666</v>
      </c>
      <c r="C21" s="3">
        <v>2102</v>
      </c>
      <c r="D21" s="225">
        <v>79.3</v>
      </c>
      <c r="E21" s="221"/>
    </row>
    <row r="22" spans="1:5" ht="15" thickBot="1" x14ac:dyDescent="0.4">
      <c r="A22" s="2" t="s">
        <v>120</v>
      </c>
      <c r="B22" s="3">
        <v>1657</v>
      </c>
      <c r="C22" s="3">
        <v>2618</v>
      </c>
      <c r="D22" s="225">
        <v>63.3</v>
      </c>
      <c r="E22" s="221"/>
    </row>
    <row r="23" spans="1:5" ht="15" thickBot="1" x14ac:dyDescent="0.4">
      <c r="A23" s="2" t="s">
        <v>119</v>
      </c>
      <c r="B23" s="3">
        <v>1626</v>
      </c>
      <c r="C23" s="3">
        <v>1761</v>
      </c>
      <c r="D23" s="225">
        <v>92.3</v>
      </c>
      <c r="E23" s="221"/>
    </row>
    <row r="24" spans="1:5" ht="15" thickBot="1" x14ac:dyDescent="0.4">
      <c r="A24" s="2" t="s">
        <v>115</v>
      </c>
      <c r="B24" s="3">
        <v>1622</v>
      </c>
      <c r="C24" s="3">
        <v>2066</v>
      </c>
      <c r="D24" s="225">
        <v>78.5</v>
      </c>
      <c r="E24" s="221"/>
    </row>
    <row r="25" spans="1:5" ht="15" thickBot="1" x14ac:dyDescent="0.4">
      <c r="A25" s="2" t="s">
        <v>158</v>
      </c>
      <c r="B25" s="3">
        <v>1615</v>
      </c>
      <c r="C25" s="3">
        <v>2765</v>
      </c>
      <c r="D25" s="225">
        <v>58.4</v>
      </c>
      <c r="E25" s="221"/>
    </row>
    <row r="26" spans="1:5" ht="15" thickBot="1" x14ac:dyDescent="0.4">
      <c r="A26" s="2" t="s">
        <v>109</v>
      </c>
      <c r="B26" s="3">
        <v>1579</v>
      </c>
      <c r="C26" s="3">
        <v>1700</v>
      </c>
      <c r="D26" s="225">
        <v>92.9</v>
      </c>
      <c r="E26" s="221"/>
    </row>
    <row r="27" spans="1:5" ht="15" thickBot="1" x14ac:dyDescent="0.4">
      <c r="A27" s="2" t="s">
        <v>219</v>
      </c>
      <c r="B27" s="3">
        <v>1545</v>
      </c>
      <c r="C27" s="3">
        <v>2105</v>
      </c>
      <c r="D27" s="225">
        <v>73.400000000000006</v>
      </c>
      <c r="E27" s="221"/>
    </row>
    <row r="28" spans="1:5" ht="15" thickBot="1" x14ac:dyDescent="0.4">
      <c r="A28" s="2" t="s">
        <v>130</v>
      </c>
      <c r="B28" s="3">
        <v>1527</v>
      </c>
      <c r="C28" s="3">
        <v>1840</v>
      </c>
      <c r="D28" s="225">
        <v>83</v>
      </c>
      <c r="E28" s="221"/>
    </row>
    <row r="29" spans="1:5" ht="15" thickBot="1" x14ac:dyDescent="0.4">
      <c r="A29" s="2" t="s">
        <v>139</v>
      </c>
      <c r="B29" s="3">
        <v>1501</v>
      </c>
      <c r="C29" s="3">
        <v>1656</v>
      </c>
      <c r="D29" s="225">
        <v>90.6</v>
      </c>
      <c r="E29" s="221"/>
    </row>
    <row r="30" spans="1:5" ht="15" thickBot="1" x14ac:dyDescent="0.4">
      <c r="A30" s="2" t="s">
        <v>281</v>
      </c>
      <c r="B30" s="3">
        <v>1489</v>
      </c>
      <c r="C30" s="3">
        <v>1725</v>
      </c>
      <c r="D30" s="225">
        <v>86.3</v>
      </c>
      <c r="E30" s="221"/>
    </row>
    <row r="31" spans="1:5" ht="15" thickBot="1" x14ac:dyDescent="0.4">
      <c r="A31" s="2" t="s">
        <v>221</v>
      </c>
      <c r="B31" s="3">
        <v>1472</v>
      </c>
      <c r="C31" s="3">
        <v>2521</v>
      </c>
      <c r="D31" s="225">
        <v>58.4</v>
      </c>
      <c r="E31" s="221"/>
    </row>
    <row r="32" spans="1:5" ht="15" thickBot="1" x14ac:dyDescent="0.4">
      <c r="A32" s="2" t="s">
        <v>223</v>
      </c>
      <c r="B32" s="3">
        <v>1469</v>
      </c>
      <c r="C32" s="3">
        <v>2906</v>
      </c>
      <c r="D32" s="225">
        <v>50.6</v>
      </c>
      <c r="E32" s="221"/>
    </row>
    <row r="33" spans="1:5" ht="15" thickBot="1" x14ac:dyDescent="0.4">
      <c r="A33" s="2" t="s">
        <v>132</v>
      </c>
      <c r="B33" s="3">
        <v>1463</v>
      </c>
      <c r="C33" s="3">
        <v>2009</v>
      </c>
      <c r="D33" s="225">
        <v>72.8</v>
      </c>
      <c r="E33" s="221"/>
    </row>
    <row r="34" spans="1:5" ht="15" thickBot="1" x14ac:dyDescent="0.4">
      <c r="A34" s="2" t="s">
        <v>133</v>
      </c>
      <c r="B34" s="3">
        <v>1461</v>
      </c>
      <c r="C34" s="3">
        <v>2085</v>
      </c>
      <c r="D34" s="225">
        <v>70.099999999999994</v>
      </c>
      <c r="E34" s="221"/>
    </row>
    <row r="35" spans="1:5" ht="15" thickBot="1" x14ac:dyDescent="0.4">
      <c r="A35" s="2" t="s">
        <v>157</v>
      </c>
      <c r="B35" s="3">
        <v>1422</v>
      </c>
      <c r="C35" s="3">
        <v>2755</v>
      </c>
      <c r="D35" s="225">
        <v>51.6</v>
      </c>
      <c r="E35" s="221"/>
    </row>
    <row r="36" spans="1:5" ht="15" thickBot="1" x14ac:dyDescent="0.4">
      <c r="A36" s="2" t="s">
        <v>128</v>
      </c>
      <c r="B36" s="3">
        <v>1420</v>
      </c>
      <c r="C36" s="3">
        <v>2017</v>
      </c>
      <c r="D36" s="225">
        <v>70.400000000000006</v>
      </c>
      <c r="E36" s="221"/>
    </row>
    <row r="37" spans="1:5" ht="15" thickBot="1" x14ac:dyDescent="0.4">
      <c r="A37" s="2" t="s">
        <v>228</v>
      </c>
      <c r="B37" s="3">
        <v>1411</v>
      </c>
      <c r="C37" s="3">
        <v>2428</v>
      </c>
      <c r="D37" s="225">
        <v>58.1</v>
      </c>
      <c r="E37" s="221"/>
    </row>
    <row r="38" spans="1:5" ht="15" thickBot="1" x14ac:dyDescent="0.4">
      <c r="A38" s="2" t="s">
        <v>145</v>
      </c>
      <c r="B38" s="3">
        <v>1385</v>
      </c>
      <c r="C38" s="3">
        <v>2219</v>
      </c>
      <c r="D38" s="225">
        <v>62.4</v>
      </c>
      <c r="E38" s="221"/>
    </row>
    <row r="39" spans="1:5" ht="15" thickBot="1" x14ac:dyDescent="0.4">
      <c r="A39" s="2" t="s">
        <v>122</v>
      </c>
      <c r="B39" s="3">
        <v>1370</v>
      </c>
      <c r="C39" s="3">
        <v>1768</v>
      </c>
      <c r="D39" s="225">
        <v>77.5</v>
      </c>
      <c r="E39" s="221"/>
    </row>
    <row r="40" spans="1:5" ht="15" thickBot="1" x14ac:dyDescent="0.4">
      <c r="A40" s="2" t="s">
        <v>154</v>
      </c>
      <c r="B40" s="3">
        <v>1366</v>
      </c>
      <c r="C40" s="3">
        <v>1900</v>
      </c>
      <c r="D40" s="225">
        <v>71.900000000000006</v>
      </c>
      <c r="E40" s="221"/>
    </row>
    <row r="41" spans="1:5" ht="15" thickBot="1" x14ac:dyDescent="0.4">
      <c r="A41" s="2" t="s">
        <v>113</v>
      </c>
      <c r="B41" s="3">
        <v>1340</v>
      </c>
      <c r="C41" s="3">
        <v>1685</v>
      </c>
      <c r="D41" s="225">
        <v>79.5</v>
      </c>
      <c r="E41" s="221"/>
    </row>
    <row r="42" spans="1:5" ht="15" thickBot="1" x14ac:dyDescent="0.4">
      <c r="A42" s="2" t="s">
        <v>311</v>
      </c>
      <c r="B42" s="3">
        <v>1338</v>
      </c>
      <c r="C42" s="3">
        <v>1881</v>
      </c>
      <c r="D42" s="225">
        <v>71.099999999999994</v>
      </c>
      <c r="E42" s="221"/>
    </row>
    <row r="43" spans="1:5" ht="15" thickBot="1" x14ac:dyDescent="0.4">
      <c r="A43" s="2" t="s">
        <v>215</v>
      </c>
      <c r="B43" s="3">
        <v>1318</v>
      </c>
      <c r="C43" s="3">
        <v>1700</v>
      </c>
      <c r="D43" s="225">
        <v>77.5</v>
      </c>
      <c r="E43" s="221"/>
    </row>
    <row r="44" spans="1:5" ht="15" thickBot="1" x14ac:dyDescent="0.4">
      <c r="A44" s="2" t="s">
        <v>159</v>
      </c>
      <c r="B44" s="3">
        <v>1316</v>
      </c>
      <c r="C44" s="3">
        <v>1942</v>
      </c>
      <c r="D44" s="225">
        <v>67.8</v>
      </c>
      <c r="E44" s="221"/>
    </row>
    <row r="45" spans="1:5" ht="15" thickBot="1" x14ac:dyDescent="0.4">
      <c r="A45" s="2" t="s">
        <v>229</v>
      </c>
      <c r="B45" s="3">
        <v>1313</v>
      </c>
      <c r="C45" s="3">
        <v>2089</v>
      </c>
      <c r="D45" s="225">
        <v>62.9</v>
      </c>
      <c r="E45" s="221"/>
    </row>
    <row r="46" spans="1:5" ht="15" thickBot="1" x14ac:dyDescent="0.4">
      <c r="A46" s="2" t="s">
        <v>225</v>
      </c>
      <c r="B46" s="3">
        <v>1308</v>
      </c>
      <c r="C46" s="3">
        <v>2175</v>
      </c>
      <c r="D46" s="225">
        <v>60.1</v>
      </c>
      <c r="E46" s="221"/>
    </row>
    <row r="47" spans="1:5" ht="15" thickBot="1" x14ac:dyDescent="0.4">
      <c r="A47" s="2" t="s">
        <v>204</v>
      </c>
      <c r="B47" s="3">
        <v>1300</v>
      </c>
      <c r="C47" s="3">
        <v>2162</v>
      </c>
      <c r="D47" s="225">
        <v>60.1</v>
      </c>
      <c r="E47" s="221"/>
    </row>
    <row r="48" spans="1:5" ht="15" thickBot="1" x14ac:dyDescent="0.4">
      <c r="A48" s="2" t="s">
        <v>140</v>
      </c>
      <c r="B48" s="3">
        <v>1286</v>
      </c>
      <c r="C48" s="3">
        <v>1642</v>
      </c>
      <c r="D48" s="225">
        <v>78.3</v>
      </c>
      <c r="E48" s="221"/>
    </row>
    <row r="49" spans="1:5" ht="15" thickBot="1" x14ac:dyDescent="0.4">
      <c r="A49" s="2" t="s">
        <v>110</v>
      </c>
      <c r="B49" s="3">
        <v>1281</v>
      </c>
      <c r="C49" s="3">
        <v>2790</v>
      </c>
      <c r="D49" s="225">
        <v>45.9</v>
      </c>
      <c r="E49" s="221"/>
    </row>
    <row r="50" spans="1:5" ht="15" thickBot="1" x14ac:dyDescent="0.4">
      <c r="A50" s="2" t="s">
        <v>127</v>
      </c>
      <c r="B50" s="3">
        <v>1263</v>
      </c>
      <c r="C50" s="3">
        <v>2829</v>
      </c>
      <c r="D50" s="225">
        <v>44.6</v>
      </c>
      <c r="E50" s="221"/>
    </row>
    <row r="51" spans="1:5" x14ac:dyDescent="0.35">
      <c r="A51" s="223" t="s">
        <v>150</v>
      </c>
      <c r="B51" s="223">
        <v>1262</v>
      </c>
      <c r="C51" s="223">
        <v>1505</v>
      </c>
      <c r="D51" s="227">
        <v>83.9</v>
      </c>
      <c r="E51" s="22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0772-C926-4C86-95F6-10CC8221E790}">
  <dimension ref="A1:B12"/>
  <sheetViews>
    <sheetView workbookViewId="0">
      <selection activeCell="B14" sqref="B14"/>
    </sheetView>
  </sheetViews>
  <sheetFormatPr defaultRowHeight="14.5" x14ac:dyDescent="0.35"/>
  <sheetData>
    <row r="1" spans="1:2" x14ac:dyDescent="0.35">
      <c r="A1" t="s">
        <v>3</v>
      </c>
      <c r="B1" t="s">
        <v>339</v>
      </c>
    </row>
    <row r="2" spans="1:2" x14ac:dyDescent="0.35">
      <c r="A2">
        <v>2012</v>
      </c>
      <c r="B2" s="232">
        <v>36426</v>
      </c>
    </row>
    <row r="3" spans="1:2" x14ac:dyDescent="0.35">
      <c r="A3">
        <v>2013</v>
      </c>
      <c r="B3" s="232">
        <v>36410</v>
      </c>
    </row>
    <row r="4" spans="1:2" x14ac:dyDescent="0.35">
      <c r="A4">
        <v>2014</v>
      </c>
      <c r="B4" s="232">
        <v>37441</v>
      </c>
    </row>
    <row r="5" spans="1:2" x14ac:dyDescent="0.35">
      <c r="A5">
        <v>2015</v>
      </c>
      <c r="B5" s="232">
        <v>37446</v>
      </c>
    </row>
    <row r="6" spans="1:2" x14ac:dyDescent="0.35">
      <c r="A6">
        <v>2016</v>
      </c>
      <c r="B6" s="232">
        <v>38984</v>
      </c>
    </row>
    <row r="7" spans="1:2" x14ac:dyDescent="0.35">
      <c r="A7">
        <v>2017</v>
      </c>
      <c r="B7" s="232">
        <v>40104</v>
      </c>
    </row>
    <row r="8" spans="1:2" x14ac:dyDescent="0.35">
      <c r="A8">
        <v>2018</v>
      </c>
      <c r="B8" s="232">
        <v>41207</v>
      </c>
    </row>
    <row r="9" spans="1:2" x14ac:dyDescent="0.35">
      <c r="A9">
        <v>2019</v>
      </c>
      <c r="B9" s="232">
        <v>42822</v>
      </c>
    </row>
    <row r="10" spans="1:2" x14ac:dyDescent="0.35">
      <c r="A10">
        <v>2020</v>
      </c>
      <c r="B10" s="232">
        <v>15581</v>
      </c>
    </row>
    <row r="11" spans="1:2" x14ac:dyDescent="0.35">
      <c r="A11">
        <v>2021</v>
      </c>
      <c r="B11" s="232">
        <v>42104</v>
      </c>
    </row>
    <row r="12" spans="1:2" x14ac:dyDescent="0.35">
      <c r="A12">
        <v>2022</v>
      </c>
      <c r="B12" s="232">
        <v>40812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9E0C-BE9B-486C-AE58-B7FAFED92DF4}">
  <dimension ref="A2:G18"/>
  <sheetViews>
    <sheetView tabSelected="1" topLeftCell="A3" workbookViewId="0">
      <selection activeCell="G3" sqref="G3"/>
    </sheetView>
  </sheetViews>
  <sheetFormatPr defaultRowHeight="14.5" x14ac:dyDescent="0.35"/>
  <cols>
    <col min="1" max="1" width="16.1796875" bestFit="1" customWidth="1"/>
  </cols>
  <sheetData>
    <row r="2" spans="1:7" ht="15" thickBot="1" x14ac:dyDescent="0.4"/>
    <row r="3" spans="1:7" x14ac:dyDescent="0.35">
      <c r="A3" s="228" t="s">
        <v>102</v>
      </c>
      <c r="B3" s="250" t="s">
        <v>103</v>
      </c>
      <c r="C3" s="229" t="s">
        <v>104</v>
      </c>
      <c r="D3" s="224" t="s">
        <v>105</v>
      </c>
      <c r="E3" s="224" t="s">
        <v>323</v>
      </c>
      <c r="F3" s="224" t="s">
        <v>528</v>
      </c>
      <c r="G3" s="224"/>
    </row>
    <row r="4" spans="1:7" ht="15" thickBot="1" x14ac:dyDescent="0.4">
      <c r="A4" s="2" t="s">
        <v>156</v>
      </c>
      <c r="B4" s="249">
        <v>497</v>
      </c>
      <c r="C4" s="3">
        <v>2301</v>
      </c>
      <c r="D4" s="3">
        <v>21.6</v>
      </c>
      <c r="E4" s="3">
        <v>89.7</v>
      </c>
      <c r="F4" s="251">
        <v>7</v>
      </c>
    </row>
    <row r="5" spans="1:7" ht="15" thickBot="1" x14ac:dyDescent="0.4">
      <c r="A5" s="2" t="s">
        <v>124</v>
      </c>
      <c r="B5" s="249">
        <v>445</v>
      </c>
      <c r="C5" s="3">
        <v>2112</v>
      </c>
      <c r="D5" s="3">
        <v>21.1</v>
      </c>
      <c r="E5" s="3">
        <v>89.7</v>
      </c>
      <c r="F5" s="251">
        <v>-3</v>
      </c>
    </row>
    <row r="6" spans="1:7" ht="15" thickBot="1" x14ac:dyDescent="0.4">
      <c r="A6" s="2" t="s">
        <v>109</v>
      </c>
      <c r="B6" s="249">
        <v>397</v>
      </c>
      <c r="C6" s="3">
        <v>1700</v>
      </c>
      <c r="D6" s="3">
        <v>23.4</v>
      </c>
      <c r="E6" s="3">
        <v>90.8</v>
      </c>
      <c r="F6" s="251">
        <v>-1</v>
      </c>
    </row>
    <row r="7" spans="1:7" ht="15" thickBot="1" x14ac:dyDescent="0.4">
      <c r="A7" s="2" t="s">
        <v>281</v>
      </c>
      <c r="B7" s="249">
        <v>365</v>
      </c>
      <c r="C7" s="3">
        <v>1725</v>
      </c>
      <c r="D7" s="3">
        <v>21.2</v>
      </c>
      <c r="E7" s="3">
        <v>90.3</v>
      </c>
      <c r="F7" s="251">
        <v>-3</v>
      </c>
    </row>
    <row r="8" spans="1:7" ht="15" thickBot="1" x14ac:dyDescent="0.4">
      <c r="A8" s="2" t="s">
        <v>115</v>
      </c>
      <c r="B8" s="249">
        <v>355</v>
      </c>
      <c r="C8" s="3">
        <v>2066</v>
      </c>
      <c r="D8" s="3">
        <v>17.2</v>
      </c>
      <c r="E8" s="3">
        <v>90.5</v>
      </c>
      <c r="F8" s="251">
        <v>3</v>
      </c>
    </row>
    <row r="9" spans="1:7" ht="15" thickBot="1" x14ac:dyDescent="0.4">
      <c r="A9" s="2" t="s">
        <v>113</v>
      </c>
      <c r="B9" s="249">
        <v>326</v>
      </c>
      <c r="C9" s="3">
        <v>1685</v>
      </c>
      <c r="D9" s="3">
        <v>19.3</v>
      </c>
      <c r="E9" s="3">
        <v>93.1</v>
      </c>
      <c r="F9" s="251">
        <v>-11</v>
      </c>
    </row>
    <row r="10" spans="1:7" ht="15" thickBot="1" x14ac:dyDescent="0.4">
      <c r="A10" s="2" t="s">
        <v>249</v>
      </c>
      <c r="B10" s="249">
        <v>242</v>
      </c>
      <c r="C10" s="3">
        <v>1194</v>
      </c>
      <c r="D10" s="3">
        <v>20.3</v>
      </c>
      <c r="E10" s="3">
        <v>88.6</v>
      </c>
      <c r="F10" s="251">
        <v>-4</v>
      </c>
    </row>
    <row r="11" spans="1:7" ht="15" thickBot="1" x14ac:dyDescent="0.4">
      <c r="A11" s="2" t="s">
        <v>191</v>
      </c>
      <c r="B11" s="249">
        <v>231</v>
      </c>
      <c r="C11" s="3">
        <v>1926</v>
      </c>
      <c r="D11" s="3">
        <v>12</v>
      </c>
      <c r="E11" s="3">
        <v>89.5</v>
      </c>
      <c r="F11" s="251">
        <v>0</v>
      </c>
    </row>
    <row r="12" spans="1:7" ht="15" thickBot="1" x14ac:dyDescent="0.4">
      <c r="A12" s="2" t="s">
        <v>148</v>
      </c>
      <c r="B12" s="249">
        <v>223</v>
      </c>
      <c r="C12" s="3">
        <v>1830</v>
      </c>
      <c r="D12" s="3">
        <v>12.2</v>
      </c>
      <c r="E12" s="3">
        <v>90.1</v>
      </c>
      <c r="F12" s="251">
        <v>5</v>
      </c>
    </row>
    <row r="13" spans="1:7" ht="15" thickBot="1" x14ac:dyDescent="0.4">
      <c r="A13" s="2" t="s">
        <v>253</v>
      </c>
      <c r="B13" s="249">
        <v>122</v>
      </c>
      <c r="C13" s="3">
        <v>1420</v>
      </c>
      <c r="D13" s="3">
        <v>8.6</v>
      </c>
      <c r="E13" s="3">
        <v>87.4</v>
      </c>
      <c r="F13" s="251">
        <v>6</v>
      </c>
    </row>
    <row r="14" spans="1:7" ht="15" thickBot="1" x14ac:dyDescent="0.4">
      <c r="A14" s="2" t="s">
        <v>340</v>
      </c>
      <c r="B14" s="249">
        <v>103</v>
      </c>
      <c r="C14" s="3">
        <v>558</v>
      </c>
      <c r="D14" s="3">
        <v>18.5</v>
      </c>
      <c r="E14" s="3">
        <v>88.7</v>
      </c>
      <c r="F14" s="251">
        <v>1</v>
      </c>
    </row>
    <row r="15" spans="1:7" ht="15" thickBot="1" x14ac:dyDescent="0.4">
      <c r="A15" s="2" t="s">
        <v>243</v>
      </c>
      <c r="B15" s="249">
        <v>101</v>
      </c>
      <c r="C15" s="3">
        <v>2781</v>
      </c>
      <c r="D15" s="3">
        <v>3.6</v>
      </c>
      <c r="E15" s="3">
        <v>90.6</v>
      </c>
      <c r="F15" s="251">
        <v>6</v>
      </c>
    </row>
    <row r="16" spans="1:7" ht="15" thickBot="1" x14ac:dyDescent="0.4">
      <c r="A16" s="2" t="s">
        <v>270</v>
      </c>
      <c r="B16" s="249">
        <v>98</v>
      </c>
      <c r="C16" s="3">
        <v>1006</v>
      </c>
      <c r="D16" s="3">
        <v>9.6999999999999993</v>
      </c>
      <c r="E16" s="3">
        <v>90.9</v>
      </c>
      <c r="F16" s="251">
        <v>-1</v>
      </c>
    </row>
    <row r="17" spans="1:6" ht="15" thickBot="1" x14ac:dyDescent="0.4">
      <c r="A17" s="2" t="s">
        <v>341</v>
      </c>
      <c r="B17" s="249">
        <v>77</v>
      </c>
      <c r="C17" s="3">
        <v>2191</v>
      </c>
      <c r="D17" s="3">
        <v>3.5</v>
      </c>
      <c r="E17" s="3">
        <v>86.9</v>
      </c>
      <c r="F17" s="251">
        <v>6</v>
      </c>
    </row>
    <row r="18" spans="1:6" ht="15" thickBot="1" x14ac:dyDescent="0.4">
      <c r="A18" s="2" t="s">
        <v>342</v>
      </c>
      <c r="B18" s="249">
        <v>62</v>
      </c>
      <c r="C18" s="3">
        <v>831</v>
      </c>
      <c r="D18" s="3">
        <v>7.5</v>
      </c>
      <c r="E18" s="3">
        <v>86.5</v>
      </c>
      <c r="F18" s="25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def</vt:lpstr>
      <vt:lpstr>LVR</vt:lpstr>
      <vt:lpstr>merged</vt:lpstr>
      <vt:lpstr>drs</vt:lpstr>
      <vt:lpstr>Htest</vt:lpstr>
      <vt:lpstr>players</vt:lpstr>
      <vt:lpstr>poh</vt:lpstr>
      <vt:lpstr>regression</vt:lpstr>
      <vt:lpstr>ABstats</vt:lpstr>
      <vt:lpstr>LSP</vt:lpstr>
      <vt:lpstr>AB</vt:lpstr>
      <vt:lpstr>LSH</vt:lpstr>
      <vt:lpstr>FAEV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2022-10-09T22:30:24Z</dcterms:created>
  <dcterms:modified xsi:type="dcterms:W3CDTF">2022-12-19T03:17:56Z</dcterms:modified>
</cp:coreProperties>
</file>